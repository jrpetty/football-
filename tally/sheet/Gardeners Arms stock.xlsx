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£#,##0.00"/>
  </numFmts>
  <fonts count="7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1"/>
    </font>
    <font>
      <name val="Arial"/>
      <color rgb="000000FF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4A5240"/>
      </patternFill>
    </fill>
    <fill>
      <patternFill patternType="solid">
        <fgColor rgb="00FFF2CC"/>
      </patternFill>
    </fill>
    <fill>
      <patternFill patternType="solid">
        <fgColor rgb="00EFED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3" borderId="1" pivotButton="0" quotePrefix="0" xfId="0"/>
    <xf numFmtId="164" fontId="6" fillId="0" borderId="1" pivotButton="0" quotePrefix="0" xfId="0"/>
    <xf numFmtId="165" fontId="5" fillId="3" borderId="1" pivotButton="0" quotePrefix="0" xfId="0"/>
    <xf numFmtId="0" fontId="6" fillId="4" borderId="1" pivotButton="0" quotePrefix="0" xfId="0"/>
    <xf numFmtId="0" fontId="0" fillId="4" borderId="1" pivotButton="0" quotePrefix="0" xfId="0"/>
    <xf numFmtId="165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3" customWidth="1" min="5" max="5"/>
    <col width="14" customWidth="1" min="6" max="6"/>
    <col width="22" customWidth="1" min="7" max="7"/>
  </cols>
  <sheetData>
    <row r="1">
      <c r="A1" s="1" t="inlineStr">
        <is>
          <t>The Gardeners Arms — stock</t>
        </is>
      </c>
    </row>
    <row r="2">
      <c r="A2" s="2" t="inlineStr">
        <is>
          <t>Count into the shaded column. Everything else is already worked out.</t>
        </is>
      </c>
    </row>
    <row r="4" ht="28" customHeight="1">
      <c r="A4" s="3" t="inlineStr">
        <is>
          <t>Line</t>
        </is>
      </c>
      <c r="B4" s="3" t="inlineStr">
        <is>
          <t>Counted in</t>
        </is>
      </c>
      <c r="C4" s="3" t="inlineStr">
        <is>
          <t>Counted</t>
        </is>
      </c>
      <c r="D4" s="3" t="inlineStr">
        <is>
          <t>Sold</t>
        </is>
      </c>
      <c r="E4" s="3" t="inlineStr">
        <is>
          <t>Left</t>
        </is>
      </c>
      <c r="F4" s="3" t="inlineStr">
        <is>
          <t>Money it took</t>
        </is>
      </c>
      <c r="G4" s="3" t="inlineStr">
        <is>
          <t>A full one is</t>
        </is>
      </c>
    </row>
    <row r="5">
      <c r="A5" s="4" t="inlineStr">
        <is>
          <t>Taddy Lager</t>
        </is>
      </c>
      <c r="B5" s="4" t="inlineStr">
        <is>
          <t>pints</t>
        </is>
      </c>
      <c r="C5" s="5" t="n">
        <v>1056</v>
      </c>
      <c r="D5" s="5" t="n">
        <v>133</v>
      </c>
      <c r="E5" s="6">
        <f>IF($C5="","not counted",$C5-$D5)</f>
        <v/>
      </c>
      <c r="F5" s="7" t="n">
        <v>532</v>
      </c>
      <c r="G5" s="4" t="inlineStr">
        <is>
          <t>large keg (176 pint)</t>
        </is>
      </c>
    </row>
    <row r="6">
      <c r="A6" s="4" t="inlineStr">
        <is>
          <t>Alpine</t>
        </is>
      </c>
      <c r="B6" s="4" t="inlineStr">
        <is>
          <t>pints</t>
        </is>
      </c>
      <c r="C6" s="5" t="n">
        <v>302.4</v>
      </c>
      <c r="D6" s="5" t="n">
        <v>97</v>
      </c>
      <c r="E6" s="6">
        <f>IF($C6="","not counted",$C6-$D6)</f>
        <v/>
      </c>
      <c r="F6" s="7" t="n">
        <v>291</v>
      </c>
      <c r="G6" s="4" t="inlineStr">
        <is>
          <t>middle keg (144 pint)</t>
        </is>
      </c>
    </row>
    <row r="7">
      <c r="A7" s="4" t="inlineStr">
        <is>
          <t>Stout</t>
        </is>
      </c>
      <c r="B7" s="4" t="inlineStr">
        <is>
          <t>pints</t>
        </is>
      </c>
      <c r="C7" s="5" t="n">
        <v>218.24</v>
      </c>
      <c r="D7" s="5" t="n">
        <v>20.5</v>
      </c>
      <c r="E7" s="6">
        <f>IF($C7="","not counted",$C7-$D7)</f>
        <v/>
      </c>
      <c r="F7" s="7" t="n">
        <v>82</v>
      </c>
      <c r="G7" s="4" t="inlineStr">
        <is>
          <t>small keg (88 pint)</t>
        </is>
      </c>
    </row>
    <row r="8">
      <c r="A8" s="4" t="inlineStr">
        <is>
          <t>Cider</t>
        </is>
      </c>
      <c r="B8" s="4" t="inlineStr">
        <is>
          <t>pints</t>
        </is>
      </c>
      <c r="C8" s="5" t="n">
        <v>171.03</v>
      </c>
      <c r="D8" s="5" t="n">
        <v>14.5</v>
      </c>
      <c r="E8" s="6">
        <f>IF($C8="","not counted",$C8-$D8)</f>
        <v/>
      </c>
      <c r="F8" s="7" t="n">
        <v>76.84999999999999</v>
      </c>
      <c r="G8" s="4" t="inlineStr">
        <is>
          <t>small keg (88 pint)</t>
        </is>
      </c>
    </row>
    <row r="9">
      <c r="A9" s="4" t="inlineStr">
        <is>
          <t>Dark Mild</t>
        </is>
      </c>
      <c r="B9" s="4" t="inlineStr">
        <is>
          <t>pints</t>
        </is>
      </c>
      <c r="C9" s="5" t="n">
        <v>67.86</v>
      </c>
      <c r="D9" s="5" t="n">
        <v>14.5</v>
      </c>
      <c r="E9" s="6">
        <f>IF($C9="","not counted",$C9-$D9)</f>
        <v/>
      </c>
      <c r="F9" s="7" t="n">
        <v>40.6</v>
      </c>
      <c r="G9" s="4" t="inlineStr">
        <is>
          <t>small keg (88 pint)</t>
        </is>
      </c>
    </row>
    <row r="10">
      <c r="A10" s="4" t="inlineStr">
        <is>
          <t>Rose</t>
        </is>
      </c>
      <c r="B10" s="4" t="inlineStr">
        <is>
          <t>ml</t>
        </is>
      </c>
      <c r="C10" s="5" t="n">
        <v>18750</v>
      </c>
      <c r="D10" s="5" t="n">
        <v>1750</v>
      </c>
      <c r="E10" s="6">
        <f>IF($C10="","not counted",$C10-$D10)</f>
        <v/>
      </c>
      <c r="F10" s="7" t="n">
        <v>52.5</v>
      </c>
      <c r="G10" s="4" t="inlineStr">
        <is>
          <t>wine bottle (750 ml)</t>
        </is>
      </c>
    </row>
    <row r="11">
      <c r="A11" s="4" t="inlineStr">
        <is>
          <t>Red wine</t>
        </is>
      </c>
      <c r="B11" s="4" t="inlineStr">
        <is>
          <t>ml</t>
        </is>
      </c>
      <c r="C11" s="5" t="n">
        <v>11125</v>
      </c>
      <c r="D11" s="5" t="n">
        <v>175</v>
      </c>
      <c r="E11" s="6">
        <f>IF($C11="","not counted",$C11-$D11)</f>
        <v/>
      </c>
      <c r="F11" s="7" t="n">
        <v>5.25</v>
      </c>
      <c r="G11" s="4" t="inlineStr">
        <is>
          <t>wine bottle (750 ml)</t>
        </is>
      </c>
    </row>
    <row r="12">
      <c r="A12" s="4" t="inlineStr">
        <is>
          <t>White wine</t>
        </is>
      </c>
      <c r="B12" s="4" t="inlineStr">
        <is>
          <t>ml</t>
        </is>
      </c>
      <c r="C12" s="5" t="n">
        <v>55125</v>
      </c>
      <c r="D12" s="5" t="n">
        <v>4425</v>
      </c>
      <c r="E12" s="6">
        <f>IF($C12="","not counted",$C12-$D12)</f>
        <v/>
      </c>
      <c r="F12" s="7" t="n">
        <v>132.75</v>
      </c>
      <c r="G12" s="4" t="inlineStr">
        <is>
          <t>wine bottle (750 ml)</t>
        </is>
      </c>
    </row>
    <row r="13">
      <c r="A13" s="4" t="inlineStr">
        <is>
          <t>Cherry</t>
        </is>
      </c>
      <c r="B13" s="4" t="inlineStr">
        <is>
          <t>bottles</t>
        </is>
      </c>
      <c r="C13" s="5" t="n">
        <v>46</v>
      </c>
      <c r="D13" s="5" t="n">
        <v>0</v>
      </c>
      <c r="E13" s="6">
        <f>IF($C13="","not counted",$C13-$D13)</f>
        <v/>
      </c>
      <c r="F13" s="7" t="n">
        <v>0</v>
      </c>
      <c r="G13" s="4" t="inlineStr">
        <is>
          <t>—</t>
        </is>
      </c>
    </row>
    <row r="14">
      <c r="A14" s="4" t="inlineStr">
        <is>
          <t>Raspberry</t>
        </is>
      </c>
      <c r="B14" s="4" t="inlineStr">
        <is>
          <t>bottles</t>
        </is>
      </c>
      <c r="C14" s="5" t="n">
        <v>22</v>
      </c>
      <c r="D14" s="5" t="n">
        <v>0</v>
      </c>
      <c r="E14" s="6">
        <f>IF($C14="","not counted",$C14-$D14)</f>
        <v/>
      </c>
      <c r="F14" s="7" t="n">
        <v>0</v>
      </c>
      <c r="G14" s="4" t="inlineStr">
        <is>
          <t>—</t>
        </is>
      </c>
    </row>
    <row r="15">
      <c r="A15" s="4" t="inlineStr">
        <is>
          <t>Chocolate</t>
        </is>
      </c>
      <c r="B15" s="4" t="inlineStr">
        <is>
          <t>bottles</t>
        </is>
      </c>
      <c r="C15" s="5" t="n">
        <v>39</v>
      </c>
      <c r="D15" s="5" t="n">
        <v>0</v>
      </c>
      <c r="E15" s="6">
        <f>IF($C15="","not counted",$C15-$D15)</f>
        <v/>
      </c>
      <c r="F15" s="7" t="n">
        <v>0</v>
      </c>
      <c r="G15" s="4" t="inlineStr">
        <is>
          <t>—</t>
        </is>
      </c>
    </row>
    <row r="16">
      <c r="A16" s="4" t="inlineStr">
        <is>
          <t>Apricot</t>
        </is>
      </c>
      <c r="B16" s="4" t="inlineStr">
        <is>
          <t>bottles</t>
        </is>
      </c>
      <c r="C16" s="5" t="n">
        <v>38</v>
      </c>
      <c r="D16" s="5" t="n">
        <v>0</v>
      </c>
      <c r="E16" s="6">
        <f>IF($C16="","not counted",$C16-$D16)</f>
        <v/>
      </c>
      <c r="F16" s="7" t="n">
        <v>0</v>
      </c>
      <c r="G16" s="4" t="inlineStr">
        <is>
          <t>—</t>
        </is>
      </c>
    </row>
    <row r="17">
      <c r="A17" s="4" t="inlineStr">
        <is>
          <t>Pear</t>
        </is>
      </c>
      <c r="B17" s="4" t="inlineStr">
        <is>
          <t>bottles</t>
        </is>
      </c>
      <c r="C17" s="5" t="n">
        <v>85</v>
      </c>
      <c r="D17" s="5" t="n">
        <v>4</v>
      </c>
      <c r="E17" s="6">
        <f>IF($C17="","not counted",$C17-$D17)</f>
        <v/>
      </c>
      <c r="F17" s="7" t="n">
        <v>24.8</v>
      </c>
      <c r="G17" s="4" t="inlineStr">
        <is>
          <t>—</t>
        </is>
      </c>
    </row>
    <row r="18">
      <c r="A18" s="4" t="inlineStr">
        <is>
          <t>Strawberry</t>
        </is>
      </c>
      <c r="B18" s="4" t="inlineStr">
        <is>
          <t>bottles</t>
        </is>
      </c>
      <c r="C18" s="5" t="n">
        <v>6</v>
      </c>
      <c r="D18" s="5" t="n">
        <v>0</v>
      </c>
      <c r="E18" s="6">
        <f>IF($C18="","not counted",$C18-$D18)</f>
        <v/>
      </c>
      <c r="F18" s="7" t="n">
        <v>0</v>
      </c>
      <c r="G18" s="4" t="inlineStr">
        <is>
          <t>—</t>
        </is>
      </c>
    </row>
    <row r="19">
      <c r="A19" s="4" t="inlineStr">
        <is>
          <t>Nut Brown</t>
        </is>
      </c>
      <c r="B19" s="4" t="inlineStr">
        <is>
          <t>bottles</t>
        </is>
      </c>
      <c r="C19" s="5" t="n">
        <v>31</v>
      </c>
      <c r="D19" s="5" t="n">
        <v>0</v>
      </c>
      <c r="E19" s="6">
        <f>IF($C19="","not counted",$C19-$D19)</f>
        <v/>
      </c>
      <c r="F19" s="7" t="n">
        <v>0</v>
      </c>
      <c r="G19" s="4" t="inlineStr">
        <is>
          <t>—</t>
        </is>
      </c>
    </row>
    <row r="20">
      <c r="A20" s="4" t="inlineStr">
        <is>
          <t>Pure Brew (bottled)</t>
        </is>
      </c>
      <c r="B20" s="4" t="inlineStr">
        <is>
          <t>bottles</t>
        </is>
      </c>
      <c r="C20" s="5" t="n">
        <v>30</v>
      </c>
      <c r="D20" s="5" t="n">
        <v>0</v>
      </c>
      <c r="E20" s="6">
        <f>IF($C20="","not counted",$C20-$D20)</f>
        <v/>
      </c>
      <c r="F20" s="7" t="n">
        <v>0</v>
      </c>
      <c r="G20" s="4" t="inlineStr">
        <is>
          <t>—</t>
        </is>
      </c>
    </row>
    <row r="21">
      <c r="A21" s="4" t="inlineStr">
        <is>
          <t>alc free</t>
        </is>
      </c>
      <c r="B21" s="4" t="inlineStr">
        <is>
          <t>bottles</t>
        </is>
      </c>
      <c r="C21" s="5" t="n">
        <v>29</v>
      </c>
      <c r="D21" s="5" t="n">
        <v>4</v>
      </c>
      <c r="E21" s="6">
        <f>IF($C21="","not counted",$C21-$D21)</f>
        <v/>
      </c>
      <c r="F21" s="7" t="n">
        <v>19.2</v>
      </c>
      <c r="G21" s="4" t="inlineStr">
        <is>
          <t>—</t>
        </is>
      </c>
    </row>
    <row r="22">
      <c r="A22" s="4" t="inlineStr">
        <is>
          <t>Orange Juice</t>
        </is>
      </c>
      <c r="B22" s="4" t="inlineStr">
        <is>
          <t>bottles</t>
        </is>
      </c>
      <c r="C22" s="5" t="n">
        <v>53</v>
      </c>
      <c r="D22" s="5" t="n">
        <v>3</v>
      </c>
      <c r="E22" s="6">
        <f>IF($C22="","not counted",$C22-$D22)</f>
        <v/>
      </c>
      <c r="F22" s="7" t="n">
        <v>11.4</v>
      </c>
      <c r="G22" s="4" t="inlineStr">
        <is>
          <t>—</t>
        </is>
      </c>
    </row>
    <row r="23">
      <c r="A23" s="4" t="inlineStr">
        <is>
          <t>Apple Juice</t>
        </is>
      </c>
      <c r="B23" s="4" t="inlineStr">
        <is>
          <t>bottles</t>
        </is>
      </c>
      <c r="C23" s="5" t="n">
        <v>56</v>
      </c>
      <c r="D23" s="5" t="n">
        <v>0</v>
      </c>
      <c r="E23" s="6">
        <f>IF($C23="","not counted",$C23-$D23)</f>
        <v/>
      </c>
      <c r="F23" s="7" t="n">
        <v>0</v>
      </c>
      <c r="G23" s="4" t="inlineStr">
        <is>
          <t>—</t>
        </is>
      </c>
    </row>
    <row r="24">
      <c r="A24" s="4" t="inlineStr">
        <is>
          <t>Passion</t>
        </is>
      </c>
      <c r="B24" s="4" t="inlineStr">
        <is>
          <t>bottles</t>
        </is>
      </c>
      <c r="C24" s="5" t="n">
        <v>39</v>
      </c>
      <c r="D24" s="5" t="n">
        <v>0</v>
      </c>
      <c r="E24" s="6">
        <f>IF($C24="","not counted",$C24-$D24)</f>
        <v/>
      </c>
      <c r="F24" s="7" t="n">
        <v>0</v>
      </c>
      <c r="G24" s="4" t="inlineStr">
        <is>
          <t>—</t>
        </is>
      </c>
    </row>
    <row r="25">
      <c r="A25" s="4" t="inlineStr">
        <is>
          <t>Elderflower</t>
        </is>
      </c>
      <c r="B25" s="4" t="inlineStr">
        <is>
          <t>bottles</t>
        </is>
      </c>
      <c r="C25" s="5" t="n">
        <v>39</v>
      </c>
      <c r="D25" s="5" t="n">
        <v>4</v>
      </c>
      <c r="E25" s="6">
        <f>IF($C25="","not counted",$C25-$D25)</f>
        <v/>
      </c>
      <c r="F25" s="7" t="n">
        <v>15.2</v>
      </c>
      <c r="G25" s="4" t="inlineStr">
        <is>
          <t>—</t>
        </is>
      </c>
    </row>
    <row r="26">
      <c r="A26" s="4" t="inlineStr">
        <is>
          <t>Rasp and Cran</t>
        </is>
      </c>
      <c r="B26" s="4" t="inlineStr">
        <is>
          <t>bottles</t>
        </is>
      </c>
      <c r="C26" s="5" t="n">
        <v>25</v>
      </c>
      <c r="D26" s="5" t="n">
        <v>0</v>
      </c>
      <c r="E26" s="6">
        <f>IF($C26="","not counted",$C26-$D26)</f>
        <v/>
      </c>
      <c r="F26" s="7" t="n">
        <v>0</v>
      </c>
      <c r="G26" s="4" t="inlineStr">
        <is>
          <t>—</t>
        </is>
      </c>
    </row>
    <row r="27">
      <c r="A27" s="4" t="inlineStr">
        <is>
          <t>Tonic</t>
        </is>
      </c>
      <c r="B27" s="4" t="inlineStr">
        <is>
          <t>bottles</t>
        </is>
      </c>
      <c r="C27" s="5" t="n">
        <v>41</v>
      </c>
      <c r="D27" s="5" t="n">
        <v>0</v>
      </c>
      <c r="E27" s="6">
        <f>IF($C27="","not counted",$C27-$D27)</f>
        <v/>
      </c>
      <c r="F27" s="7" t="n">
        <v>0</v>
      </c>
      <c r="G27" s="4" t="inlineStr">
        <is>
          <t>—</t>
        </is>
      </c>
    </row>
    <row r="28">
      <c r="A28" s="4" t="inlineStr">
        <is>
          <t>Ginger Beer</t>
        </is>
      </c>
      <c r="B28" s="4" t="inlineStr">
        <is>
          <t>bottles</t>
        </is>
      </c>
      <c r="C28" s="5" t="n">
        <v>58</v>
      </c>
      <c r="D28" s="5" t="n">
        <v>0</v>
      </c>
      <c r="E28" s="6">
        <f>IF($C28="","not counted",$C28-$D28)</f>
        <v/>
      </c>
      <c r="F28" s="7" t="n">
        <v>0</v>
      </c>
      <c r="G28" s="4" t="inlineStr">
        <is>
          <t>—</t>
        </is>
      </c>
    </row>
    <row r="29">
      <c r="A29" s="4" t="inlineStr">
        <is>
          <t>Crisps</t>
        </is>
      </c>
      <c r="B29" s="4" t="inlineStr">
        <is>
          <t>each</t>
        </is>
      </c>
      <c r="C29" s="5" t="n">
        <v>525</v>
      </c>
      <c r="D29" s="5" t="n">
        <v>11</v>
      </c>
      <c r="E29" s="6">
        <f>IF($C29="","not counted",$C29-$D29)</f>
        <v/>
      </c>
      <c r="F29" s="7" t="n">
        <v>18.7</v>
      </c>
      <c r="G29" s="4" t="inlineStr">
        <is>
          <t>box (25 unit)</t>
        </is>
      </c>
    </row>
    <row r="30">
      <c r="A30" s="4" t="inlineStr">
        <is>
          <t>Salted Nuts</t>
        </is>
      </c>
      <c r="B30" s="4" t="inlineStr">
        <is>
          <t>each</t>
        </is>
      </c>
      <c r="C30" s="5" t="n">
        <v>68</v>
      </c>
      <c r="D30" s="5" t="n">
        <v>0</v>
      </c>
      <c r="E30" s="6">
        <f>IF($C30="","not counted",$C30-$D30)</f>
        <v/>
      </c>
      <c r="F30" s="7" t="n">
        <v>0</v>
      </c>
      <c r="G30" s="4" t="inlineStr">
        <is>
          <t>—</t>
        </is>
      </c>
    </row>
    <row r="31">
      <c r="A31" s="4" t="inlineStr">
        <is>
          <t>Dry Roast</t>
        </is>
      </c>
      <c r="B31" s="4" t="inlineStr">
        <is>
          <t>each</t>
        </is>
      </c>
      <c r="C31" s="5" t="n">
        <v>58</v>
      </c>
      <c r="D31" s="5" t="n">
        <v>1</v>
      </c>
      <c r="E31" s="6">
        <f>IF($C31="","not counted",$C31-$D31)</f>
        <v/>
      </c>
      <c r="F31" s="7" t="n">
        <v>1.7</v>
      </c>
      <c r="G31" s="4" t="inlineStr">
        <is>
          <t>—</t>
        </is>
      </c>
    </row>
    <row r="32">
      <c r="A32" s="4" t="inlineStr">
        <is>
          <t>OBB (draught)</t>
        </is>
      </c>
      <c r="B32" s="4" t="inlineStr">
        <is>
          <t>not counted yet</t>
        </is>
      </c>
      <c r="C32" s="5" t="n"/>
      <c r="D32" s="5" t="n">
        <v>86.5</v>
      </c>
      <c r="E32" s="6">
        <f>IF($C32="","not counted",$C32-$D32)</f>
        <v/>
      </c>
      <c r="F32" s="7" t="n">
        <v>311.4</v>
      </c>
      <c r="G32" s="4" t="inlineStr">
        <is>
          <t>—</t>
        </is>
      </c>
    </row>
    <row r="33">
      <c r="A33" s="4" t="inlineStr">
        <is>
          <t>Pure Brew (draught)</t>
        </is>
      </c>
      <c r="B33" s="4" t="inlineStr">
        <is>
          <t>not counted yet</t>
        </is>
      </c>
      <c r="C33" s="5" t="n"/>
      <c r="D33" s="5" t="n">
        <v>43</v>
      </c>
      <c r="E33" s="6">
        <f>IF($C33="","not counted",$C33-$D33)</f>
        <v/>
      </c>
      <c r="F33" s="7" t="n">
        <v>227.9</v>
      </c>
      <c r="G33" s="4" t="inlineStr">
        <is>
          <t>—</t>
        </is>
      </c>
    </row>
    <row r="34">
      <c r="A34" s="4" t="inlineStr">
        <is>
          <t>Post mix (half)</t>
        </is>
      </c>
      <c r="B34" s="4" t="inlineStr">
        <is>
          <t>not counted yet</t>
        </is>
      </c>
      <c r="C34" s="5" t="n"/>
      <c r="D34" s="5" t="n">
        <v>49</v>
      </c>
      <c r="E34" s="6">
        <f>IF($C34="","not counted",$C34-$D34)</f>
        <v/>
      </c>
      <c r="F34" s="7" t="n">
        <v>93.09999999999999</v>
      </c>
      <c r="G34" s="4" t="inlineStr">
        <is>
          <t>—</t>
        </is>
      </c>
    </row>
    <row r="35">
      <c r="A35" s="4" t="inlineStr">
        <is>
          <t>Dash</t>
        </is>
      </c>
      <c r="B35" s="4" t="inlineStr">
        <is>
          <t>not counted yet</t>
        </is>
      </c>
      <c r="C35" s="5" t="n"/>
      <c r="D35" s="5" t="n">
        <v>10</v>
      </c>
      <c r="E35" s="6">
        <f>IF($C35="","not counted",$C35-$D35)</f>
        <v/>
      </c>
      <c r="F35" s="7" t="n">
        <v>6</v>
      </c>
      <c r="G35" s="4" t="inlineStr">
        <is>
          <t>—</t>
        </is>
      </c>
    </row>
    <row r="36">
      <c r="A36" s="4" t="inlineStr">
        <is>
          <t>Vodka</t>
        </is>
      </c>
      <c r="B36" s="4" t="inlineStr">
        <is>
          <t>not counted yet</t>
        </is>
      </c>
      <c r="C36" s="5" t="n"/>
      <c r="D36" s="5" t="n">
        <v>12</v>
      </c>
      <c r="E36" s="6">
        <f>IF($C36="","not counted",$C36-$D36)</f>
        <v/>
      </c>
      <c r="F36" s="7" t="n">
        <v>37.8</v>
      </c>
      <c r="G36" s="4" t="inlineStr">
        <is>
          <t>—</t>
        </is>
      </c>
    </row>
    <row r="37">
      <c r="A37" s="4" t="inlineStr">
        <is>
          <t>Whisky</t>
        </is>
      </c>
      <c r="B37" s="4" t="inlineStr">
        <is>
          <t>not counted yet</t>
        </is>
      </c>
      <c r="C37" s="5" t="n"/>
      <c r="D37" s="5" t="n">
        <v>1</v>
      </c>
      <c r="E37" s="6">
        <f>IF($C37="","not counted",$C37-$D37)</f>
        <v/>
      </c>
      <c r="F37" s="7" t="n">
        <v>3.15</v>
      </c>
      <c r="G37" s="4" t="inlineStr">
        <is>
          <t>—</t>
        </is>
      </c>
    </row>
    <row r="38">
      <c r="A38" s="4" t="inlineStr">
        <is>
          <t>Dark rum</t>
        </is>
      </c>
      <c r="B38" s="4" t="inlineStr">
        <is>
          <t>not counted yet</t>
        </is>
      </c>
      <c r="C38" s="5" t="n"/>
      <c r="D38" s="5" t="n">
        <v>4</v>
      </c>
      <c r="E38" s="6">
        <f>IF($C38="","not counted",$C38-$D38)</f>
        <v/>
      </c>
      <c r="F38" s="7" t="n">
        <v>12.6</v>
      </c>
      <c r="G38" s="4" t="inlineStr">
        <is>
          <t>—</t>
        </is>
      </c>
    </row>
    <row r="39">
      <c r="A39" s="4" t="inlineStr">
        <is>
          <t>Tequila</t>
        </is>
      </c>
      <c r="B39" s="4" t="inlineStr">
        <is>
          <t>not counted yet</t>
        </is>
      </c>
      <c r="C39" s="5" t="n"/>
      <c r="D39" s="5" t="n">
        <v>1</v>
      </c>
      <c r="E39" s="6">
        <f>IF($C39="","not counted",$C39-$D39)</f>
        <v/>
      </c>
      <c r="F39" s="7" t="n">
        <v>3.75</v>
      </c>
      <c r="G39" s="4" t="inlineStr">
        <is>
          <t>—</t>
        </is>
      </c>
    </row>
    <row r="40">
      <c r="A40" s="4" t="inlineStr">
        <is>
          <t>Open food</t>
        </is>
      </c>
      <c r="B40" s="4" t="inlineStr">
        <is>
          <t>not counted yet</t>
        </is>
      </c>
      <c r="C40" s="5" t="n"/>
      <c r="D40" s="5" t="n">
        <v>3</v>
      </c>
      <c r="E40" s="6">
        <f>IF($C40="","not counted",$C40-$D40)</f>
        <v/>
      </c>
      <c r="F40" s="7" t="n">
        <v>11.4</v>
      </c>
      <c r="G40" s="4" t="inlineStr">
        <is>
          <t>—</t>
        </is>
      </c>
    </row>
    <row r="41">
      <c r="A41" s="8" t="inlineStr">
        <is>
          <t>Taken, all lines</t>
        </is>
      </c>
      <c r="B41" s="9" t="n"/>
      <c r="C41" s="9" t="n"/>
      <c r="D41" s="9" t="n"/>
      <c r="E41" s="9" t="n"/>
      <c r="F41" s="10">
        <f>SUM($F$5:$F$40)</f>
        <v/>
      </c>
      <c r="G41" s="9" t="n"/>
    </row>
    <row r="43">
      <c r="A43" s="2" t="inlineStr">
        <is>
          <t>Counted is your stock take of 16 September 2026. Type this week’s over the top of it.</t>
        </is>
      </c>
    </row>
    <row r="44">
      <c r="A44" s="2" t="inlineStr">
        <is>
          <t>Sold and Money are the two cash-ups of 18 September added together — £1,174.75 at 16:57 and £836.30 at 22:46.</t>
        </is>
      </c>
    </row>
    <row r="45">
      <c r="A45" s="2" t="inlineStr">
        <is>
          <t>Pints count halves as a half. Wine is in millilitres: a large glass is 175.</t>
        </is>
      </c>
    </row>
    <row r="46">
      <c r="A46" s="2" t="inlineStr">
        <is>
          <t>A line you leave empty says "not counted", which is not the same as none.</t>
        </is>
      </c>
    </row>
    <row r="47">
      <c r="A47" s="2" t="inlineStr">
        <is>
          <t>The bottom nine lines are things the till sells that the stock take does not count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2026-09-20T22:12:12Z</dcterms:created>
  <dcterms:modified xsi:type="dcterms:W3CDTF">2026-09-20T22:12:12Z</dcterms:modified>
</cp:coreProperties>
</file>