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Nights" sheetId="2" state="visible" r:id="rId2"/>
    <sheet name="Sold" sheetId="3" state="visible" r:id="rId3"/>
    <sheet name="Cel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£#,##0.00"/>
    <numFmt numFmtId="165" formatCode="dd/mm/yyyy"/>
    <numFmt numFmtId="166" formatCode="£#,##0.00;[Red]-£#,##0.00;-"/>
    <numFmt numFmtId="167" formatCode="#,##0.##"/>
    <numFmt numFmtId="168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i val="1"/>
      <color rgb="00595959"/>
      <sz val="10"/>
    </font>
    <font>
      <name val="Arial"/>
      <color rgb="000000FF"/>
      <sz val="11"/>
    </font>
    <font>
      <name val="Arial"/>
      <b val="1"/>
      <color rgb="00FFFFFF"/>
      <sz val="11"/>
    </font>
    <font>
      <name val="Arial"/>
      <i val="1"/>
      <color rgb="00808080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A52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165" fontId="7" fillId="2" borderId="1" pivotButton="0" quotePrefix="0" xfId="0"/>
    <xf numFmtId="1" fontId="7" fillId="2" borderId="1" pivotButton="0" quotePrefix="0" xfId="0"/>
    <xf numFmtId="164" fontId="7" fillId="2" borderId="1" pivotButton="0" quotePrefix="0" xfId="0"/>
    <xf numFmtId="164" fontId="2" fillId="0" borderId="1" pivotButton="0" quotePrefix="0" xfId="0"/>
    <xf numFmtId="166" fontId="2" fillId="0" borderId="1" pivotButton="0" quotePrefix="0" xfId="0"/>
    <xf numFmtId="0" fontId="2" fillId="0" borderId="1" applyAlignment="1" pivotButton="0" quotePrefix="0" xfId="0">
      <alignment horizontal="center"/>
    </xf>
    <xf numFmtId="165" fontId="5" fillId="2" borderId="1" pivotButton="0" quotePrefix="0" xfId="0"/>
    <xf numFmtId="1" fontId="5" fillId="2" borderId="1" pivotButton="0" quotePrefix="0" xfId="0"/>
    <xf numFmtId="0" fontId="7" fillId="2" borderId="1" pivotButton="0" quotePrefix="0" xfId="0"/>
    <xf numFmtId="167" fontId="7" fillId="2" borderId="1" pivotButton="0" quotePrefix="0" xfId="0"/>
    <xf numFmtId="167" fontId="2" fillId="0" borderId="1" pivotButton="0" quotePrefix="0" xfId="0"/>
    <xf numFmtId="0" fontId="5" fillId="2" borderId="1" pivotButton="0" quotePrefix="0" xfId="0"/>
    <xf numFmtId="167" fontId="5" fillId="2" borderId="1" pivotButton="0" quotePrefix="0" xfId="0"/>
    <xf numFmtId="0" fontId="2" fillId="0" borderId="1" pivotButton="0" quotePrefix="0" xfId="0"/>
    <xf numFmtId="167" fontId="3" fillId="0" borderId="1" pivotButton="0" quotePrefix="0" xfId="0"/>
    <xf numFmtId="1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The Gardeners Arms — till and cellar</t>
        </is>
      </c>
    </row>
    <row r="2">
      <c r="A2" s="2" t="inlineStr"/>
    </row>
    <row r="3">
      <c r="A3" s="3" t="inlineStr">
        <is>
          <t>Type only in the shaded boxes. Everything else works itself out.</t>
        </is>
      </c>
    </row>
    <row r="4">
      <c r="A4" s="2" t="inlineStr"/>
    </row>
    <row r="5">
      <c r="A5" s="3" t="inlineStr">
        <is>
          <t>NIGHTS — one row per receipt.</t>
        </is>
      </c>
    </row>
    <row r="6">
      <c r="A6" s="2" t="inlineStr">
        <is>
          <t>Put in the date, the Z number, and the figures off the receipt.</t>
        </is>
      </c>
    </row>
    <row r="7">
      <c r="A7" s="2" t="inlineStr">
        <is>
          <t>Two or three receipts in one night: give them each a row with the same date. The day</t>
        </is>
      </c>
    </row>
    <row r="8">
      <c r="A8" s="2" t="inlineStr">
        <is>
          <t>columns add them together and judge the night as a whole.</t>
        </is>
      </c>
    </row>
    <row r="9">
      <c r="A9" s="2" t="inlineStr">
        <is>
          <t>A receipt printed after midnight belongs to the night before, so date it the day the</t>
        </is>
      </c>
    </row>
    <row r="10">
      <c r="A10" s="2" t="inlineStr">
        <is>
          <t>night started.</t>
        </is>
      </c>
    </row>
    <row r="11">
      <c r="A11" s="2" t="inlineStr">
        <is>
          <t>Cash in drawer is everything in the till at the end. Float put back is what you leave in</t>
        </is>
      </c>
    </row>
    <row r="12">
      <c r="A12" s="2" t="inlineStr">
        <is>
          <t>for the morning, so it is not counted as takings. Leave it empty if you take the lot.</t>
        </is>
      </c>
    </row>
    <row r="13">
      <c r="A13" s="2" t="inlineStr">
        <is>
          <t>Until a card or a cash figure is in, the night reads "not counted yet" — never £0.</t>
        </is>
      </c>
    </row>
    <row r="14">
      <c r="A14" s="2" t="inlineStr"/>
    </row>
    <row r="15">
      <c r="A15" s="3" t="inlineStr">
        <is>
          <t>SOLD — one row per line the receipt sold.</t>
        </is>
      </c>
    </row>
    <row r="16">
      <c r="A16" s="2" t="inlineStr">
        <is>
          <t>Pick the cellar line from the drop down, then say how many went and what one takes.</t>
        </is>
      </c>
    </row>
    <row r="17">
      <c r="A17" s="2" t="inlineStr">
        <is>
          <t>A pint takes 1, a half takes 0.5, a large glass of wine takes 175, a small one 125,</t>
        </is>
      </c>
    </row>
    <row r="18">
      <c r="A18" s="2" t="inlineStr">
        <is>
          <t>a bottle off the shelf takes 1.</t>
        </is>
      </c>
    </row>
    <row r="19">
      <c r="A19" s="2" t="inlineStr">
        <is>
          <t>If the Matched column says NOT IN THE CELLAR, that line is coming off nothing — fix the</t>
        </is>
      </c>
    </row>
    <row r="20">
      <c r="A20" s="2" t="inlineStr">
        <is>
          <t>name or add the line to the Cellar sheet.</t>
        </is>
      </c>
    </row>
    <row r="21">
      <c r="A21" s="2" t="inlineStr"/>
    </row>
    <row r="22">
      <c r="A22" s="3" t="inlineStr">
        <is>
          <t>CELLAR — your stock take of 16 September 2026 is already in it.</t>
        </is>
      </c>
    </row>
    <row r="23">
      <c r="A23" s="2" t="inlineStr">
        <is>
          <t>It takes off whatever the Sold sheet says went, and adds anything you book in.</t>
        </is>
      </c>
    </row>
    <row r="24">
      <c r="A24" s="2" t="inlineStr">
        <is>
          <t>Count it again each week: type the new figures over the Counted column and move the</t>
        </is>
      </c>
    </row>
    <row r="25">
      <c r="A25" s="2" t="inlineStr">
        <is>
          <t>Counted on date to the day you counted. Only sales on or after that date come off.</t>
        </is>
      </c>
    </row>
    <row r="26">
      <c r="A26" s="2" t="inlineStr">
        <is>
          <t>A line you have not counted says "not counted" — it does not pretend to be nothing.</t>
        </is>
      </c>
    </row>
    <row r="27">
      <c r="A27" s="2" t="inlineStr"/>
    </row>
    <row r="28">
      <c r="A28" s="3" t="inlineStr">
        <is>
          <t>About the example rows</t>
        </is>
      </c>
    </row>
    <row r="29">
      <c r="A29" s="2" t="inlineStr">
        <is>
          <t>The grey italic rows are the real receipt of 23 August 2026. Delete them once you have</t>
        </is>
      </c>
    </row>
    <row r="30">
      <c r="A30" s="2" t="inlineStr">
        <is>
          <t>your own nights in, or leave them and start underneath.</t>
        </is>
      </c>
    </row>
    <row r="31">
      <c r="A31" s="2" t="inlineStr">
        <is>
          <t>They are dated before the stock take, so they take nothing off the cellar — that is the</t>
        </is>
      </c>
    </row>
    <row r="32">
      <c r="A32" s="2" t="inlineStr">
        <is>
          <t>sheet working properly. To watch it work, put the Counted on date back to 1 August and</t>
        </is>
      </c>
    </row>
    <row r="33">
      <c r="A33" s="2" t="inlineStr">
        <is>
          <t>the cellar will come down; then put it back to 16 September.</t>
        </is>
      </c>
    </row>
    <row r="34">
      <c r="A34" s="2" t="inlineStr"/>
    </row>
    <row r="35">
      <c r="A35" s="3" t="inlineStr">
        <is>
          <t>The arithmetic</t>
        </is>
      </c>
    </row>
    <row r="36">
      <c r="A36" s="2" t="inlineStr">
        <is>
          <t>A pint is treated as 568ml exactly, so two halves make one pint and a keg put in as 176</t>
        </is>
      </c>
    </row>
    <row r="37">
      <c r="A37" s="2" t="inlineStr">
        <is>
          <t>pints cancels dead against 176 pints of sales. Wine is counted in millilitres.</t>
        </is>
      </c>
    </row>
    <row r="38">
      <c r="A38" s="2" t="inlineStr"/>
    </row>
    <row r="39">
      <c r="A39" s="3" t="inlineStr">
        <is>
          <t>Where the figures came from</t>
        </is>
      </c>
    </row>
    <row r="40">
      <c r="A40" s="2" t="inlineStr">
        <is>
          <t>The cellar amounts are your own stock take of 16 September 2026, as you sent it.</t>
        </is>
      </c>
    </row>
    <row r="41">
      <c r="A41" s="2" t="inlineStr">
        <is>
          <t>The example night is your own till roll of 23 August 2026, Z number 1685.</t>
        </is>
      </c>
    </row>
    <row r="42">
      <c r="A42" s="2" t="inlineStr">
        <is>
          <t>Spirits, post mix, OBB and Pure Brew on draught were not on that stock take, so they are</t>
        </is>
      </c>
    </row>
    <row r="43">
      <c r="A43" s="2" t="inlineStr">
        <is>
          <t>not in the cellar here. Add them when you have counted them.</t>
        </is>
      </c>
    </row>
    <row r="44">
      <c r="A44" s="2" t="inlineStr">
        <is>
          <t>Alpine is entered at 2.1 kegs because the middle keg has no empty weight to work from.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5" customWidth="1" min="13" max="13"/>
  </cols>
  <sheetData>
    <row r="1">
      <c r="A1" s="1" t="inlineStr">
        <is>
          <t>Nights</t>
        </is>
      </c>
    </row>
    <row r="2">
      <c r="A2" s="4" t="inlineStr">
        <is>
          <t>One row per receipt. Two receipts in one night? Same date on both rows and the day columns add them.</t>
        </is>
      </c>
    </row>
    <row r="3">
      <c r="A3" s="3" t="inlineStr">
        <is>
          <t>Allowed out by</t>
        </is>
      </c>
      <c r="B3" s="5" t="n">
        <v>0.05</v>
      </c>
      <c r="C3" s="4" t="inlineStr">
        <is>
          <t>Anything within this counts as balanced.</t>
        </is>
      </c>
    </row>
    <row r="4" ht="30" customHeight="1">
      <c r="A4" s="6" t="inlineStr">
        <is>
          <t>Date</t>
        </is>
      </c>
      <c r="B4" s="6" t="inlineStr">
        <is>
          <t>Z number</t>
        </is>
      </c>
      <c r="C4" s="6" t="inlineStr">
        <is>
          <t>Till roll total</t>
        </is>
      </c>
      <c r="D4" s="6" t="inlineStr">
        <is>
          <t>Card</t>
        </is>
      </c>
      <c r="E4" s="6" t="inlineStr">
        <is>
          <t>Cash in drawer</t>
        </is>
      </c>
      <c r="F4" s="6" t="inlineStr">
        <is>
          <t>Float put back</t>
        </is>
      </c>
      <c r="G4" s="6" t="inlineStr">
        <is>
          <t>Night — till</t>
        </is>
      </c>
      <c r="H4" s="6" t="inlineStr">
        <is>
          <t>Night — card</t>
        </is>
      </c>
      <c r="I4" s="6" t="inlineStr">
        <is>
          <t>Night — cash</t>
        </is>
      </c>
      <c r="J4" s="6" t="inlineStr">
        <is>
          <t>Night — float</t>
        </is>
      </c>
      <c r="K4" s="6" t="inlineStr">
        <is>
          <t>Night — counted</t>
        </is>
      </c>
      <c r="L4" s="6" t="inlineStr">
        <is>
          <t>Out by</t>
        </is>
      </c>
      <c r="M4" s="6" t="inlineStr">
        <is>
          <t>Verdict</t>
        </is>
      </c>
    </row>
    <row r="5">
      <c r="A5" s="7" t="n">
        <v>46257</v>
      </c>
      <c r="B5" s="8" t="n">
        <v>1685</v>
      </c>
      <c r="C5" s="9" t="n">
        <v>2192.8</v>
      </c>
      <c r="D5" s="9" t="n">
        <v>1841</v>
      </c>
      <c r="E5" s="9" t="n">
        <v>351.8</v>
      </c>
      <c r="F5" s="5" t="n"/>
      <c r="G5" s="10">
        <f>IF($A5="","",SUMIF($A$5:$A$300,$A5,$C$5:$C$300))</f>
        <v/>
      </c>
      <c r="H5" s="10">
        <f>IF($A5="","",SUMIF($A$5:$A$300,$A5,$D$5:$D$300))</f>
        <v/>
      </c>
      <c r="I5" s="10">
        <f>IF($A5="","",SUMIF($A$5:$A$300,$A5,$E$5:$E$300))</f>
        <v/>
      </c>
      <c r="J5" s="10">
        <f>IF($A5="","",SUMIF($A$5:$A$300,$A5,$F$5:$F$300))</f>
        <v/>
      </c>
      <c r="K5" s="10">
        <f>IF($A5="","",IF(SUMPRODUCT(($A$5:$A$300=$A5)*(ISNUMBER($D$5:$D$300)+ISNUMBER($E$5:$E$300)))=0,"",H5+I5-J5))</f>
        <v/>
      </c>
      <c r="L5" s="11">
        <f>IF(OR($A5="",K5=""),"",K5-G5)</f>
        <v/>
      </c>
      <c r="M5" s="12">
        <f>IF($A5="","",IF(K5="","not counted yet",IF(ABS(L5)&lt;=$B$3,"Balanced",IF(L5&lt;0,"Short","Over"))))</f>
        <v/>
      </c>
    </row>
    <row r="6">
      <c r="A6" s="13" t="n"/>
      <c r="B6" s="14" t="n"/>
      <c r="C6" s="5" t="n"/>
      <c r="D6" s="5" t="n"/>
      <c r="E6" s="5" t="n"/>
      <c r="F6" s="5" t="n"/>
      <c r="G6" s="10">
        <f>IF($A6="","",SUMIF($A$5:$A$300,$A6,$C$5:$C$300))</f>
        <v/>
      </c>
      <c r="H6" s="10">
        <f>IF($A6="","",SUMIF($A$5:$A$300,$A6,$D$5:$D$300))</f>
        <v/>
      </c>
      <c r="I6" s="10">
        <f>IF($A6="","",SUMIF($A$5:$A$300,$A6,$E$5:$E$300))</f>
        <v/>
      </c>
      <c r="J6" s="10">
        <f>IF($A6="","",SUMIF($A$5:$A$300,$A6,$F$5:$F$300))</f>
        <v/>
      </c>
      <c r="K6" s="10">
        <f>IF($A6="","",IF(SUMPRODUCT(($A$5:$A$300=$A6)*(ISNUMBER($D$5:$D$300)+ISNUMBER($E$5:$E$300)))=0,"",H6+I6-J6))</f>
        <v/>
      </c>
      <c r="L6" s="11">
        <f>IF(OR($A6="",K6=""),"",K6-G6)</f>
        <v/>
      </c>
      <c r="M6" s="12">
        <f>IF($A6="","",IF(K6="","not counted yet",IF(ABS(L6)&lt;=$B$3,"Balanced",IF(L6&lt;0,"Short","Over"))))</f>
        <v/>
      </c>
    </row>
    <row r="7">
      <c r="A7" s="13" t="n"/>
      <c r="B7" s="14" t="n"/>
      <c r="C7" s="5" t="n"/>
      <c r="D7" s="5" t="n"/>
      <c r="E7" s="5" t="n"/>
      <c r="F7" s="5" t="n"/>
      <c r="G7" s="10">
        <f>IF($A7="","",SUMIF($A$5:$A$300,$A7,$C$5:$C$300))</f>
        <v/>
      </c>
      <c r="H7" s="10">
        <f>IF($A7="","",SUMIF($A$5:$A$300,$A7,$D$5:$D$300))</f>
        <v/>
      </c>
      <c r="I7" s="10">
        <f>IF($A7="","",SUMIF($A$5:$A$300,$A7,$E$5:$E$300))</f>
        <v/>
      </c>
      <c r="J7" s="10">
        <f>IF($A7="","",SUMIF($A$5:$A$300,$A7,$F$5:$F$300))</f>
        <v/>
      </c>
      <c r="K7" s="10">
        <f>IF($A7="","",IF(SUMPRODUCT(($A$5:$A$300=$A7)*(ISNUMBER($D$5:$D$300)+ISNUMBER($E$5:$E$300)))=0,"",H7+I7-J7))</f>
        <v/>
      </c>
      <c r="L7" s="11">
        <f>IF(OR($A7="",K7=""),"",K7-G7)</f>
        <v/>
      </c>
      <c r="M7" s="12">
        <f>IF($A7="","",IF(K7="","not counted yet",IF(ABS(L7)&lt;=$B$3,"Balanced",IF(L7&lt;0,"Short","Over"))))</f>
        <v/>
      </c>
    </row>
    <row r="8">
      <c r="A8" s="13" t="n"/>
      <c r="B8" s="14" t="n"/>
      <c r="C8" s="5" t="n"/>
      <c r="D8" s="5" t="n"/>
      <c r="E8" s="5" t="n"/>
      <c r="F8" s="5" t="n"/>
      <c r="G8" s="10">
        <f>IF($A8="","",SUMIF($A$5:$A$300,$A8,$C$5:$C$300))</f>
        <v/>
      </c>
      <c r="H8" s="10">
        <f>IF($A8="","",SUMIF($A$5:$A$300,$A8,$D$5:$D$300))</f>
        <v/>
      </c>
      <c r="I8" s="10">
        <f>IF($A8="","",SUMIF($A$5:$A$300,$A8,$E$5:$E$300))</f>
        <v/>
      </c>
      <c r="J8" s="10">
        <f>IF($A8="","",SUMIF($A$5:$A$300,$A8,$F$5:$F$300))</f>
        <v/>
      </c>
      <c r="K8" s="10">
        <f>IF($A8="","",IF(SUMPRODUCT(($A$5:$A$300=$A8)*(ISNUMBER($D$5:$D$300)+ISNUMBER($E$5:$E$300)))=0,"",H8+I8-J8))</f>
        <v/>
      </c>
      <c r="L8" s="11">
        <f>IF(OR($A8="",K8=""),"",K8-G8)</f>
        <v/>
      </c>
      <c r="M8" s="12">
        <f>IF($A8="","",IF(K8="","not counted yet",IF(ABS(L8)&lt;=$B$3,"Balanced",IF(L8&lt;0,"Short","Over"))))</f>
        <v/>
      </c>
    </row>
    <row r="9">
      <c r="A9" s="13" t="n"/>
      <c r="B9" s="14" t="n"/>
      <c r="C9" s="5" t="n"/>
      <c r="D9" s="5" t="n"/>
      <c r="E9" s="5" t="n"/>
      <c r="F9" s="5" t="n"/>
      <c r="G9" s="10">
        <f>IF($A9="","",SUMIF($A$5:$A$300,$A9,$C$5:$C$300))</f>
        <v/>
      </c>
      <c r="H9" s="10">
        <f>IF($A9="","",SUMIF($A$5:$A$300,$A9,$D$5:$D$300))</f>
        <v/>
      </c>
      <c r="I9" s="10">
        <f>IF($A9="","",SUMIF($A$5:$A$300,$A9,$E$5:$E$300))</f>
        <v/>
      </c>
      <c r="J9" s="10">
        <f>IF($A9="","",SUMIF($A$5:$A$300,$A9,$F$5:$F$300))</f>
        <v/>
      </c>
      <c r="K9" s="10">
        <f>IF($A9="","",IF(SUMPRODUCT(($A$5:$A$300=$A9)*(ISNUMBER($D$5:$D$300)+ISNUMBER($E$5:$E$300)))=0,"",H9+I9-J9))</f>
        <v/>
      </c>
      <c r="L9" s="11">
        <f>IF(OR($A9="",K9=""),"",K9-G9)</f>
        <v/>
      </c>
      <c r="M9" s="12">
        <f>IF($A9="","",IF(K9="","not counted yet",IF(ABS(L9)&lt;=$B$3,"Balanced",IF(L9&lt;0,"Short","Over"))))</f>
        <v/>
      </c>
    </row>
    <row r="10">
      <c r="A10" s="13" t="n"/>
      <c r="B10" s="14" t="n"/>
      <c r="C10" s="5" t="n"/>
      <c r="D10" s="5" t="n"/>
      <c r="E10" s="5" t="n"/>
      <c r="F10" s="5" t="n"/>
      <c r="G10" s="10">
        <f>IF($A10="","",SUMIF($A$5:$A$300,$A10,$C$5:$C$300))</f>
        <v/>
      </c>
      <c r="H10" s="10">
        <f>IF($A10="","",SUMIF($A$5:$A$300,$A10,$D$5:$D$300))</f>
        <v/>
      </c>
      <c r="I10" s="10">
        <f>IF($A10="","",SUMIF($A$5:$A$300,$A10,$E$5:$E$300))</f>
        <v/>
      </c>
      <c r="J10" s="10">
        <f>IF($A10="","",SUMIF($A$5:$A$300,$A10,$F$5:$F$300))</f>
        <v/>
      </c>
      <c r="K10" s="10">
        <f>IF($A10="","",IF(SUMPRODUCT(($A$5:$A$300=$A10)*(ISNUMBER($D$5:$D$300)+ISNUMBER($E$5:$E$300)))=0,"",H10+I10-J10))</f>
        <v/>
      </c>
      <c r="L10" s="11">
        <f>IF(OR($A10="",K10=""),"",K10-G10)</f>
        <v/>
      </c>
      <c r="M10" s="12">
        <f>IF($A10="","",IF(K10="","not counted yet",IF(ABS(L10)&lt;=$B$3,"Balanced",IF(L10&lt;0,"Short","Over"))))</f>
        <v/>
      </c>
    </row>
    <row r="11">
      <c r="A11" s="13" t="n"/>
      <c r="B11" s="14" t="n"/>
      <c r="C11" s="5" t="n"/>
      <c r="D11" s="5" t="n"/>
      <c r="E11" s="5" t="n"/>
      <c r="F11" s="5" t="n"/>
      <c r="G11" s="10">
        <f>IF($A11="","",SUMIF($A$5:$A$300,$A11,$C$5:$C$300))</f>
        <v/>
      </c>
      <c r="H11" s="10">
        <f>IF($A11="","",SUMIF($A$5:$A$300,$A11,$D$5:$D$300))</f>
        <v/>
      </c>
      <c r="I11" s="10">
        <f>IF($A11="","",SUMIF($A$5:$A$300,$A11,$E$5:$E$300))</f>
        <v/>
      </c>
      <c r="J11" s="10">
        <f>IF($A11="","",SUMIF($A$5:$A$300,$A11,$F$5:$F$300))</f>
        <v/>
      </c>
      <c r="K11" s="10">
        <f>IF($A11="","",IF(SUMPRODUCT(($A$5:$A$300=$A11)*(ISNUMBER($D$5:$D$300)+ISNUMBER($E$5:$E$300)))=0,"",H11+I11-J11))</f>
        <v/>
      </c>
      <c r="L11" s="11">
        <f>IF(OR($A11="",K11=""),"",K11-G11)</f>
        <v/>
      </c>
      <c r="M11" s="12">
        <f>IF($A11="","",IF(K11="","not counted yet",IF(ABS(L11)&lt;=$B$3,"Balanced",IF(L11&lt;0,"Short","Over"))))</f>
        <v/>
      </c>
    </row>
    <row r="12">
      <c r="A12" s="13" t="n"/>
      <c r="B12" s="14" t="n"/>
      <c r="C12" s="5" t="n"/>
      <c r="D12" s="5" t="n"/>
      <c r="E12" s="5" t="n"/>
      <c r="F12" s="5" t="n"/>
      <c r="G12" s="10">
        <f>IF($A12="","",SUMIF($A$5:$A$300,$A12,$C$5:$C$300))</f>
        <v/>
      </c>
      <c r="H12" s="10">
        <f>IF($A12="","",SUMIF($A$5:$A$300,$A12,$D$5:$D$300))</f>
        <v/>
      </c>
      <c r="I12" s="10">
        <f>IF($A12="","",SUMIF($A$5:$A$300,$A12,$E$5:$E$300))</f>
        <v/>
      </c>
      <c r="J12" s="10">
        <f>IF($A12="","",SUMIF($A$5:$A$300,$A12,$F$5:$F$300))</f>
        <v/>
      </c>
      <c r="K12" s="10">
        <f>IF($A12="","",IF(SUMPRODUCT(($A$5:$A$300=$A12)*(ISNUMBER($D$5:$D$300)+ISNUMBER($E$5:$E$300)))=0,"",H12+I12-J12))</f>
        <v/>
      </c>
      <c r="L12" s="11">
        <f>IF(OR($A12="",K12=""),"",K12-G12)</f>
        <v/>
      </c>
      <c r="M12" s="12">
        <f>IF($A12="","",IF(K12="","not counted yet",IF(ABS(L12)&lt;=$B$3,"Balanced",IF(L12&lt;0,"Short","Over"))))</f>
        <v/>
      </c>
    </row>
    <row r="13">
      <c r="A13" s="13" t="n"/>
      <c r="B13" s="14" t="n"/>
      <c r="C13" s="5" t="n"/>
      <c r="D13" s="5" t="n"/>
      <c r="E13" s="5" t="n"/>
      <c r="F13" s="5" t="n"/>
      <c r="G13" s="10">
        <f>IF($A13="","",SUMIF($A$5:$A$300,$A13,$C$5:$C$300))</f>
        <v/>
      </c>
      <c r="H13" s="10">
        <f>IF($A13="","",SUMIF($A$5:$A$300,$A13,$D$5:$D$300))</f>
        <v/>
      </c>
      <c r="I13" s="10">
        <f>IF($A13="","",SUMIF($A$5:$A$300,$A13,$E$5:$E$300))</f>
        <v/>
      </c>
      <c r="J13" s="10">
        <f>IF($A13="","",SUMIF($A$5:$A$300,$A13,$F$5:$F$300))</f>
        <v/>
      </c>
      <c r="K13" s="10">
        <f>IF($A13="","",IF(SUMPRODUCT(($A$5:$A$300=$A13)*(ISNUMBER($D$5:$D$300)+ISNUMBER($E$5:$E$300)))=0,"",H13+I13-J13))</f>
        <v/>
      </c>
      <c r="L13" s="11">
        <f>IF(OR($A13="",K13=""),"",K13-G13)</f>
        <v/>
      </c>
      <c r="M13" s="12">
        <f>IF($A13="","",IF(K13="","not counted yet",IF(ABS(L13)&lt;=$B$3,"Balanced",IF(L13&lt;0,"Short","Over"))))</f>
        <v/>
      </c>
    </row>
    <row r="14">
      <c r="A14" s="13" t="n"/>
      <c r="B14" s="14" t="n"/>
      <c r="C14" s="5" t="n"/>
      <c r="D14" s="5" t="n"/>
      <c r="E14" s="5" t="n"/>
      <c r="F14" s="5" t="n"/>
      <c r="G14" s="10">
        <f>IF($A14="","",SUMIF($A$5:$A$300,$A14,$C$5:$C$300))</f>
        <v/>
      </c>
      <c r="H14" s="10">
        <f>IF($A14="","",SUMIF($A$5:$A$300,$A14,$D$5:$D$300))</f>
        <v/>
      </c>
      <c r="I14" s="10">
        <f>IF($A14="","",SUMIF($A$5:$A$300,$A14,$E$5:$E$300))</f>
        <v/>
      </c>
      <c r="J14" s="10">
        <f>IF($A14="","",SUMIF($A$5:$A$300,$A14,$F$5:$F$300))</f>
        <v/>
      </c>
      <c r="K14" s="10">
        <f>IF($A14="","",IF(SUMPRODUCT(($A$5:$A$300=$A14)*(ISNUMBER($D$5:$D$300)+ISNUMBER($E$5:$E$300)))=0,"",H14+I14-J14))</f>
        <v/>
      </c>
      <c r="L14" s="11">
        <f>IF(OR($A14="",K14=""),"",K14-G14)</f>
        <v/>
      </c>
      <c r="M14" s="12">
        <f>IF($A14="","",IF(K14="","not counted yet",IF(ABS(L14)&lt;=$B$3,"Balanced",IF(L14&lt;0,"Short","Over"))))</f>
        <v/>
      </c>
    </row>
    <row r="15">
      <c r="A15" s="13" t="n"/>
      <c r="B15" s="14" t="n"/>
      <c r="C15" s="5" t="n"/>
      <c r="D15" s="5" t="n"/>
      <c r="E15" s="5" t="n"/>
      <c r="F15" s="5" t="n"/>
      <c r="G15" s="10">
        <f>IF($A15="","",SUMIF($A$5:$A$300,$A15,$C$5:$C$300))</f>
        <v/>
      </c>
      <c r="H15" s="10">
        <f>IF($A15="","",SUMIF($A$5:$A$300,$A15,$D$5:$D$300))</f>
        <v/>
      </c>
      <c r="I15" s="10">
        <f>IF($A15="","",SUMIF($A$5:$A$300,$A15,$E$5:$E$300))</f>
        <v/>
      </c>
      <c r="J15" s="10">
        <f>IF($A15="","",SUMIF($A$5:$A$300,$A15,$F$5:$F$300))</f>
        <v/>
      </c>
      <c r="K15" s="10">
        <f>IF($A15="","",IF(SUMPRODUCT(($A$5:$A$300=$A15)*(ISNUMBER($D$5:$D$300)+ISNUMBER($E$5:$E$300)))=0,"",H15+I15-J15))</f>
        <v/>
      </c>
      <c r="L15" s="11">
        <f>IF(OR($A15="",K15=""),"",K15-G15)</f>
        <v/>
      </c>
      <c r="M15" s="12">
        <f>IF($A15="","",IF(K15="","not counted yet",IF(ABS(L15)&lt;=$B$3,"Balanced",IF(L15&lt;0,"Short","Over"))))</f>
        <v/>
      </c>
    </row>
    <row r="16">
      <c r="A16" s="13" t="n"/>
      <c r="B16" s="14" t="n"/>
      <c r="C16" s="5" t="n"/>
      <c r="D16" s="5" t="n"/>
      <c r="E16" s="5" t="n"/>
      <c r="F16" s="5" t="n"/>
      <c r="G16" s="10">
        <f>IF($A16="","",SUMIF($A$5:$A$300,$A16,$C$5:$C$300))</f>
        <v/>
      </c>
      <c r="H16" s="10">
        <f>IF($A16="","",SUMIF($A$5:$A$300,$A16,$D$5:$D$300))</f>
        <v/>
      </c>
      <c r="I16" s="10">
        <f>IF($A16="","",SUMIF($A$5:$A$300,$A16,$E$5:$E$300))</f>
        <v/>
      </c>
      <c r="J16" s="10">
        <f>IF($A16="","",SUMIF($A$5:$A$300,$A16,$F$5:$F$300))</f>
        <v/>
      </c>
      <c r="K16" s="10">
        <f>IF($A16="","",IF(SUMPRODUCT(($A$5:$A$300=$A16)*(ISNUMBER($D$5:$D$300)+ISNUMBER($E$5:$E$300)))=0,"",H16+I16-J16))</f>
        <v/>
      </c>
      <c r="L16" s="11">
        <f>IF(OR($A16="",K16=""),"",K16-G16)</f>
        <v/>
      </c>
      <c r="M16" s="12">
        <f>IF($A16="","",IF(K16="","not counted yet",IF(ABS(L16)&lt;=$B$3,"Balanced",IF(L16&lt;0,"Short","Over"))))</f>
        <v/>
      </c>
    </row>
    <row r="17">
      <c r="A17" s="13" t="n"/>
      <c r="B17" s="14" t="n"/>
      <c r="C17" s="5" t="n"/>
      <c r="D17" s="5" t="n"/>
      <c r="E17" s="5" t="n"/>
      <c r="F17" s="5" t="n"/>
      <c r="G17" s="10">
        <f>IF($A17="","",SUMIF($A$5:$A$300,$A17,$C$5:$C$300))</f>
        <v/>
      </c>
      <c r="H17" s="10">
        <f>IF($A17="","",SUMIF($A$5:$A$300,$A17,$D$5:$D$300))</f>
        <v/>
      </c>
      <c r="I17" s="10">
        <f>IF($A17="","",SUMIF($A$5:$A$300,$A17,$E$5:$E$300))</f>
        <v/>
      </c>
      <c r="J17" s="10">
        <f>IF($A17="","",SUMIF($A$5:$A$300,$A17,$F$5:$F$300))</f>
        <v/>
      </c>
      <c r="K17" s="10">
        <f>IF($A17="","",IF(SUMPRODUCT(($A$5:$A$300=$A17)*(ISNUMBER($D$5:$D$300)+ISNUMBER($E$5:$E$300)))=0,"",H17+I17-J17))</f>
        <v/>
      </c>
      <c r="L17" s="11">
        <f>IF(OR($A17="",K17=""),"",K17-G17)</f>
        <v/>
      </c>
      <c r="M17" s="12">
        <f>IF($A17="","",IF(K17="","not counted yet",IF(ABS(L17)&lt;=$B$3,"Balanced",IF(L17&lt;0,"Short","Over"))))</f>
        <v/>
      </c>
    </row>
    <row r="18">
      <c r="A18" s="13" t="n"/>
      <c r="B18" s="14" t="n"/>
      <c r="C18" s="5" t="n"/>
      <c r="D18" s="5" t="n"/>
      <c r="E18" s="5" t="n"/>
      <c r="F18" s="5" t="n"/>
      <c r="G18" s="10">
        <f>IF($A18="","",SUMIF($A$5:$A$300,$A18,$C$5:$C$300))</f>
        <v/>
      </c>
      <c r="H18" s="10">
        <f>IF($A18="","",SUMIF($A$5:$A$300,$A18,$D$5:$D$300))</f>
        <v/>
      </c>
      <c r="I18" s="10">
        <f>IF($A18="","",SUMIF($A$5:$A$300,$A18,$E$5:$E$300))</f>
        <v/>
      </c>
      <c r="J18" s="10">
        <f>IF($A18="","",SUMIF($A$5:$A$300,$A18,$F$5:$F$300))</f>
        <v/>
      </c>
      <c r="K18" s="10">
        <f>IF($A18="","",IF(SUMPRODUCT(($A$5:$A$300=$A18)*(ISNUMBER($D$5:$D$300)+ISNUMBER($E$5:$E$300)))=0,"",H18+I18-J18))</f>
        <v/>
      </c>
      <c r="L18" s="11">
        <f>IF(OR($A18="",K18=""),"",K18-G18)</f>
        <v/>
      </c>
      <c r="M18" s="12">
        <f>IF($A18="","",IF(K18="","not counted yet",IF(ABS(L18)&lt;=$B$3,"Balanced",IF(L18&lt;0,"Short","Over"))))</f>
        <v/>
      </c>
    </row>
    <row r="19">
      <c r="A19" s="13" t="n"/>
      <c r="B19" s="14" t="n"/>
      <c r="C19" s="5" t="n"/>
      <c r="D19" s="5" t="n"/>
      <c r="E19" s="5" t="n"/>
      <c r="F19" s="5" t="n"/>
      <c r="G19" s="10">
        <f>IF($A19="","",SUMIF($A$5:$A$300,$A19,$C$5:$C$300))</f>
        <v/>
      </c>
      <c r="H19" s="10">
        <f>IF($A19="","",SUMIF($A$5:$A$300,$A19,$D$5:$D$300))</f>
        <v/>
      </c>
      <c r="I19" s="10">
        <f>IF($A19="","",SUMIF($A$5:$A$300,$A19,$E$5:$E$300))</f>
        <v/>
      </c>
      <c r="J19" s="10">
        <f>IF($A19="","",SUMIF($A$5:$A$300,$A19,$F$5:$F$300))</f>
        <v/>
      </c>
      <c r="K19" s="10">
        <f>IF($A19="","",IF(SUMPRODUCT(($A$5:$A$300=$A19)*(ISNUMBER($D$5:$D$300)+ISNUMBER($E$5:$E$300)))=0,"",H19+I19-J19))</f>
        <v/>
      </c>
      <c r="L19" s="11">
        <f>IF(OR($A19="",K19=""),"",K19-G19)</f>
        <v/>
      </c>
      <c r="M19" s="12">
        <f>IF($A19="","",IF(K19="","not counted yet",IF(ABS(L19)&lt;=$B$3,"Balanced",IF(L19&lt;0,"Short","Over"))))</f>
        <v/>
      </c>
    </row>
    <row r="20">
      <c r="A20" s="13" t="n"/>
      <c r="B20" s="14" t="n"/>
      <c r="C20" s="5" t="n"/>
      <c r="D20" s="5" t="n"/>
      <c r="E20" s="5" t="n"/>
      <c r="F20" s="5" t="n"/>
      <c r="G20" s="10">
        <f>IF($A20="","",SUMIF($A$5:$A$300,$A20,$C$5:$C$300))</f>
        <v/>
      </c>
      <c r="H20" s="10">
        <f>IF($A20="","",SUMIF($A$5:$A$300,$A20,$D$5:$D$300))</f>
        <v/>
      </c>
      <c r="I20" s="10">
        <f>IF($A20="","",SUMIF($A$5:$A$300,$A20,$E$5:$E$300))</f>
        <v/>
      </c>
      <c r="J20" s="10">
        <f>IF($A20="","",SUMIF($A$5:$A$300,$A20,$F$5:$F$300))</f>
        <v/>
      </c>
      <c r="K20" s="10">
        <f>IF($A20="","",IF(SUMPRODUCT(($A$5:$A$300=$A20)*(ISNUMBER($D$5:$D$300)+ISNUMBER($E$5:$E$300)))=0,"",H20+I20-J20))</f>
        <v/>
      </c>
      <c r="L20" s="11">
        <f>IF(OR($A20="",K20=""),"",K20-G20)</f>
        <v/>
      </c>
      <c r="M20" s="12">
        <f>IF($A20="","",IF(K20="","not counted yet",IF(ABS(L20)&lt;=$B$3,"Balanced",IF(L20&lt;0,"Short","Over"))))</f>
        <v/>
      </c>
    </row>
    <row r="21">
      <c r="A21" s="13" t="n"/>
      <c r="B21" s="14" t="n"/>
      <c r="C21" s="5" t="n"/>
      <c r="D21" s="5" t="n"/>
      <c r="E21" s="5" t="n"/>
      <c r="F21" s="5" t="n"/>
      <c r="G21" s="10">
        <f>IF($A21="","",SUMIF($A$5:$A$300,$A21,$C$5:$C$300))</f>
        <v/>
      </c>
      <c r="H21" s="10">
        <f>IF($A21="","",SUMIF($A$5:$A$300,$A21,$D$5:$D$300))</f>
        <v/>
      </c>
      <c r="I21" s="10">
        <f>IF($A21="","",SUMIF($A$5:$A$300,$A21,$E$5:$E$300))</f>
        <v/>
      </c>
      <c r="J21" s="10">
        <f>IF($A21="","",SUMIF($A$5:$A$300,$A21,$F$5:$F$300))</f>
        <v/>
      </c>
      <c r="K21" s="10">
        <f>IF($A21="","",IF(SUMPRODUCT(($A$5:$A$300=$A21)*(ISNUMBER($D$5:$D$300)+ISNUMBER($E$5:$E$300)))=0,"",H21+I21-J21))</f>
        <v/>
      </c>
      <c r="L21" s="11">
        <f>IF(OR($A21="",K21=""),"",K21-G21)</f>
        <v/>
      </c>
      <c r="M21" s="12">
        <f>IF($A21="","",IF(K21="","not counted yet",IF(ABS(L21)&lt;=$B$3,"Balanced",IF(L21&lt;0,"Short","Over"))))</f>
        <v/>
      </c>
    </row>
    <row r="22">
      <c r="A22" s="13" t="n"/>
      <c r="B22" s="14" t="n"/>
      <c r="C22" s="5" t="n"/>
      <c r="D22" s="5" t="n"/>
      <c r="E22" s="5" t="n"/>
      <c r="F22" s="5" t="n"/>
      <c r="G22" s="10">
        <f>IF($A22="","",SUMIF($A$5:$A$300,$A22,$C$5:$C$300))</f>
        <v/>
      </c>
      <c r="H22" s="10">
        <f>IF($A22="","",SUMIF($A$5:$A$300,$A22,$D$5:$D$300))</f>
        <v/>
      </c>
      <c r="I22" s="10">
        <f>IF($A22="","",SUMIF($A$5:$A$300,$A22,$E$5:$E$300))</f>
        <v/>
      </c>
      <c r="J22" s="10">
        <f>IF($A22="","",SUMIF($A$5:$A$300,$A22,$F$5:$F$300))</f>
        <v/>
      </c>
      <c r="K22" s="10">
        <f>IF($A22="","",IF(SUMPRODUCT(($A$5:$A$300=$A22)*(ISNUMBER($D$5:$D$300)+ISNUMBER($E$5:$E$300)))=0,"",H22+I22-J22))</f>
        <v/>
      </c>
      <c r="L22" s="11">
        <f>IF(OR($A22="",K22=""),"",K22-G22)</f>
        <v/>
      </c>
      <c r="M22" s="12">
        <f>IF($A22="","",IF(K22="","not counted yet",IF(ABS(L22)&lt;=$B$3,"Balanced",IF(L22&lt;0,"Short","Over"))))</f>
        <v/>
      </c>
    </row>
    <row r="23">
      <c r="A23" s="13" t="n"/>
      <c r="B23" s="14" t="n"/>
      <c r="C23" s="5" t="n"/>
      <c r="D23" s="5" t="n"/>
      <c r="E23" s="5" t="n"/>
      <c r="F23" s="5" t="n"/>
      <c r="G23" s="10">
        <f>IF($A23="","",SUMIF($A$5:$A$300,$A23,$C$5:$C$300))</f>
        <v/>
      </c>
      <c r="H23" s="10">
        <f>IF($A23="","",SUMIF($A$5:$A$300,$A23,$D$5:$D$300))</f>
        <v/>
      </c>
      <c r="I23" s="10">
        <f>IF($A23="","",SUMIF($A$5:$A$300,$A23,$E$5:$E$300))</f>
        <v/>
      </c>
      <c r="J23" s="10">
        <f>IF($A23="","",SUMIF($A$5:$A$300,$A23,$F$5:$F$300))</f>
        <v/>
      </c>
      <c r="K23" s="10">
        <f>IF($A23="","",IF(SUMPRODUCT(($A$5:$A$300=$A23)*(ISNUMBER($D$5:$D$300)+ISNUMBER($E$5:$E$300)))=0,"",H23+I23-J23))</f>
        <v/>
      </c>
      <c r="L23" s="11">
        <f>IF(OR($A23="",K23=""),"",K23-G23)</f>
        <v/>
      </c>
      <c r="M23" s="12">
        <f>IF($A23="","",IF(K23="","not counted yet",IF(ABS(L23)&lt;=$B$3,"Balanced",IF(L23&lt;0,"Short","Over"))))</f>
        <v/>
      </c>
    </row>
    <row r="24">
      <c r="A24" s="13" t="n"/>
      <c r="B24" s="14" t="n"/>
      <c r="C24" s="5" t="n"/>
      <c r="D24" s="5" t="n"/>
      <c r="E24" s="5" t="n"/>
      <c r="F24" s="5" t="n"/>
      <c r="G24" s="10">
        <f>IF($A24="","",SUMIF($A$5:$A$300,$A24,$C$5:$C$300))</f>
        <v/>
      </c>
      <c r="H24" s="10">
        <f>IF($A24="","",SUMIF($A$5:$A$300,$A24,$D$5:$D$300))</f>
        <v/>
      </c>
      <c r="I24" s="10">
        <f>IF($A24="","",SUMIF($A$5:$A$300,$A24,$E$5:$E$300))</f>
        <v/>
      </c>
      <c r="J24" s="10">
        <f>IF($A24="","",SUMIF($A$5:$A$300,$A24,$F$5:$F$300))</f>
        <v/>
      </c>
      <c r="K24" s="10">
        <f>IF($A24="","",IF(SUMPRODUCT(($A$5:$A$300=$A24)*(ISNUMBER($D$5:$D$300)+ISNUMBER($E$5:$E$300)))=0,"",H24+I24-J24))</f>
        <v/>
      </c>
      <c r="L24" s="11">
        <f>IF(OR($A24="",K24=""),"",K24-G24)</f>
        <v/>
      </c>
      <c r="M24" s="12">
        <f>IF($A24="","",IF(K24="","not counted yet",IF(ABS(L24)&lt;=$B$3,"Balanced",IF(L24&lt;0,"Short","Over"))))</f>
        <v/>
      </c>
    </row>
    <row r="25">
      <c r="A25" s="13" t="n"/>
      <c r="B25" s="14" t="n"/>
      <c r="C25" s="5" t="n"/>
      <c r="D25" s="5" t="n"/>
      <c r="E25" s="5" t="n"/>
      <c r="F25" s="5" t="n"/>
      <c r="G25" s="10">
        <f>IF($A25="","",SUMIF($A$5:$A$300,$A25,$C$5:$C$300))</f>
        <v/>
      </c>
      <c r="H25" s="10">
        <f>IF($A25="","",SUMIF($A$5:$A$300,$A25,$D$5:$D$300))</f>
        <v/>
      </c>
      <c r="I25" s="10">
        <f>IF($A25="","",SUMIF($A$5:$A$300,$A25,$E$5:$E$300))</f>
        <v/>
      </c>
      <c r="J25" s="10">
        <f>IF($A25="","",SUMIF($A$5:$A$300,$A25,$F$5:$F$300))</f>
        <v/>
      </c>
      <c r="K25" s="10">
        <f>IF($A25="","",IF(SUMPRODUCT(($A$5:$A$300=$A25)*(ISNUMBER($D$5:$D$300)+ISNUMBER($E$5:$E$300)))=0,"",H25+I25-J25))</f>
        <v/>
      </c>
      <c r="L25" s="11">
        <f>IF(OR($A25="",K25=""),"",K25-G25)</f>
        <v/>
      </c>
      <c r="M25" s="12">
        <f>IF($A25="","",IF(K25="","not counted yet",IF(ABS(L25)&lt;=$B$3,"Balanced",IF(L25&lt;0,"Short","Over"))))</f>
        <v/>
      </c>
    </row>
    <row r="26">
      <c r="A26" s="13" t="n"/>
      <c r="B26" s="14" t="n"/>
      <c r="C26" s="5" t="n"/>
      <c r="D26" s="5" t="n"/>
      <c r="E26" s="5" t="n"/>
      <c r="F26" s="5" t="n"/>
      <c r="G26" s="10">
        <f>IF($A26="","",SUMIF($A$5:$A$300,$A26,$C$5:$C$300))</f>
        <v/>
      </c>
      <c r="H26" s="10">
        <f>IF($A26="","",SUMIF($A$5:$A$300,$A26,$D$5:$D$300))</f>
        <v/>
      </c>
      <c r="I26" s="10">
        <f>IF($A26="","",SUMIF($A$5:$A$300,$A26,$E$5:$E$300))</f>
        <v/>
      </c>
      <c r="J26" s="10">
        <f>IF($A26="","",SUMIF($A$5:$A$300,$A26,$F$5:$F$300))</f>
        <v/>
      </c>
      <c r="K26" s="10">
        <f>IF($A26="","",IF(SUMPRODUCT(($A$5:$A$300=$A26)*(ISNUMBER($D$5:$D$300)+ISNUMBER($E$5:$E$300)))=0,"",H26+I26-J26))</f>
        <v/>
      </c>
      <c r="L26" s="11">
        <f>IF(OR($A26="",K26=""),"",K26-G26)</f>
        <v/>
      </c>
      <c r="M26" s="12">
        <f>IF($A26="","",IF(K26="","not counted yet",IF(ABS(L26)&lt;=$B$3,"Balanced",IF(L26&lt;0,"Short","Over"))))</f>
        <v/>
      </c>
    </row>
    <row r="27">
      <c r="A27" s="13" t="n"/>
      <c r="B27" s="14" t="n"/>
      <c r="C27" s="5" t="n"/>
      <c r="D27" s="5" t="n"/>
      <c r="E27" s="5" t="n"/>
      <c r="F27" s="5" t="n"/>
      <c r="G27" s="10">
        <f>IF($A27="","",SUMIF($A$5:$A$300,$A27,$C$5:$C$300))</f>
        <v/>
      </c>
      <c r="H27" s="10">
        <f>IF($A27="","",SUMIF($A$5:$A$300,$A27,$D$5:$D$300))</f>
        <v/>
      </c>
      <c r="I27" s="10">
        <f>IF($A27="","",SUMIF($A$5:$A$300,$A27,$E$5:$E$300))</f>
        <v/>
      </c>
      <c r="J27" s="10">
        <f>IF($A27="","",SUMIF($A$5:$A$300,$A27,$F$5:$F$300))</f>
        <v/>
      </c>
      <c r="K27" s="10">
        <f>IF($A27="","",IF(SUMPRODUCT(($A$5:$A$300=$A27)*(ISNUMBER($D$5:$D$300)+ISNUMBER($E$5:$E$300)))=0,"",H27+I27-J27))</f>
        <v/>
      </c>
      <c r="L27" s="11">
        <f>IF(OR($A27="",K27=""),"",K27-G27)</f>
        <v/>
      </c>
      <c r="M27" s="12">
        <f>IF($A27="","",IF(K27="","not counted yet",IF(ABS(L27)&lt;=$B$3,"Balanced",IF(L27&lt;0,"Short","Over"))))</f>
        <v/>
      </c>
    </row>
    <row r="28">
      <c r="A28" s="13" t="n"/>
      <c r="B28" s="14" t="n"/>
      <c r="C28" s="5" t="n"/>
      <c r="D28" s="5" t="n"/>
      <c r="E28" s="5" t="n"/>
      <c r="F28" s="5" t="n"/>
      <c r="G28" s="10">
        <f>IF($A28="","",SUMIF($A$5:$A$300,$A28,$C$5:$C$300))</f>
        <v/>
      </c>
      <c r="H28" s="10">
        <f>IF($A28="","",SUMIF($A$5:$A$300,$A28,$D$5:$D$300))</f>
        <v/>
      </c>
      <c r="I28" s="10">
        <f>IF($A28="","",SUMIF($A$5:$A$300,$A28,$E$5:$E$300))</f>
        <v/>
      </c>
      <c r="J28" s="10">
        <f>IF($A28="","",SUMIF($A$5:$A$300,$A28,$F$5:$F$300))</f>
        <v/>
      </c>
      <c r="K28" s="10">
        <f>IF($A28="","",IF(SUMPRODUCT(($A$5:$A$300=$A28)*(ISNUMBER($D$5:$D$300)+ISNUMBER($E$5:$E$300)))=0,"",H28+I28-J28))</f>
        <v/>
      </c>
      <c r="L28" s="11">
        <f>IF(OR($A28="",K28=""),"",K28-G28)</f>
        <v/>
      </c>
      <c r="M28" s="12">
        <f>IF($A28="","",IF(K28="","not counted yet",IF(ABS(L28)&lt;=$B$3,"Balanced",IF(L28&lt;0,"Short","Over"))))</f>
        <v/>
      </c>
    </row>
    <row r="29">
      <c r="A29" s="13" t="n"/>
      <c r="B29" s="14" t="n"/>
      <c r="C29" s="5" t="n"/>
      <c r="D29" s="5" t="n"/>
      <c r="E29" s="5" t="n"/>
      <c r="F29" s="5" t="n"/>
      <c r="G29" s="10">
        <f>IF($A29="","",SUMIF($A$5:$A$300,$A29,$C$5:$C$300))</f>
        <v/>
      </c>
      <c r="H29" s="10">
        <f>IF($A29="","",SUMIF($A$5:$A$300,$A29,$D$5:$D$300))</f>
        <v/>
      </c>
      <c r="I29" s="10">
        <f>IF($A29="","",SUMIF($A$5:$A$300,$A29,$E$5:$E$300))</f>
        <v/>
      </c>
      <c r="J29" s="10">
        <f>IF($A29="","",SUMIF($A$5:$A$300,$A29,$F$5:$F$300))</f>
        <v/>
      </c>
      <c r="K29" s="10">
        <f>IF($A29="","",IF(SUMPRODUCT(($A$5:$A$300=$A29)*(ISNUMBER($D$5:$D$300)+ISNUMBER($E$5:$E$300)))=0,"",H29+I29-J29))</f>
        <v/>
      </c>
      <c r="L29" s="11">
        <f>IF(OR($A29="",K29=""),"",K29-G29)</f>
        <v/>
      </c>
      <c r="M29" s="12">
        <f>IF($A29="","",IF(K29="","not counted yet",IF(ABS(L29)&lt;=$B$3,"Balanced",IF(L29&lt;0,"Short","Over"))))</f>
        <v/>
      </c>
    </row>
    <row r="30">
      <c r="A30" s="13" t="n"/>
      <c r="B30" s="14" t="n"/>
      <c r="C30" s="5" t="n"/>
      <c r="D30" s="5" t="n"/>
      <c r="E30" s="5" t="n"/>
      <c r="F30" s="5" t="n"/>
      <c r="G30" s="10">
        <f>IF($A30="","",SUMIF($A$5:$A$300,$A30,$C$5:$C$300))</f>
        <v/>
      </c>
      <c r="H30" s="10">
        <f>IF($A30="","",SUMIF($A$5:$A$300,$A30,$D$5:$D$300))</f>
        <v/>
      </c>
      <c r="I30" s="10">
        <f>IF($A30="","",SUMIF($A$5:$A$300,$A30,$E$5:$E$300))</f>
        <v/>
      </c>
      <c r="J30" s="10">
        <f>IF($A30="","",SUMIF($A$5:$A$300,$A30,$F$5:$F$300))</f>
        <v/>
      </c>
      <c r="K30" s="10">
        <f>IF($A30="","",IF(SUMPRODUCT(($A$5:$A$300=$A30)*(ISNUMBER($D$5:$D$300)+ISNUMBER($E$5:$E$300)))=0,"",H30+I30-J30))</f>
        <v/>
      </c>
      <c r="L30" s="11">
        <f>IF(OR($A30="",K30=""),"",K30-G30)</f>
        <v/>
      </c>
      <c r="M30" s="12">
        <f>IF($A30="","",IF(K30="","not counted yet",IF(ABS(L30)&lt;=$B$3,"Balanced",IF(L30&lt;0,"Short","Over"))))</f>
        <v/>
      </c>
    </row>
    <row r="31">
      <c r="A31" s="13" t="n"/>
      <c r="B31" s="14" t="n"/>
      <c r="C31" s="5" t="n"/>
      <c r="D31" s="5" t="n"/>
      <c r="E31" s="5" t="n"/>
      <c r="F31" s="5" t="n"/>
      <c r="G31" s="10">
        <f>IF($A31="","",SUMIF($A$5:$A$300,$A31,$C$5:$C$300))</f>
        <v/>
      </c>
      <c r="H31" s="10">
        <f>IF($A31="","",SUMIF($A$5:$A$300,$A31,$D$5:$D$300))</f>
        <v/>
      </c>
      <c r="I31" s="10">
        <f>IF($A31="","",SUMIF($A$5:$A$300,$A31,$E$5:$E$300))</f>
        <v/>
      </c>
      <c r="J31" s="10">
        <f>IF($A31="","",SUMIF($A$5:$A$300,$A31,$F$5:$F$300))</f>
        <v/>
      </c>
      <c r="K31" s="10">
        <f>IF($A31="","",IF(SUMPRODUCT(($A$5:$A$300=$A31)*(ISNUMBER($D$5:$D$300)+ISNUMBER($E$5:$E$300)))=0,"",H31+I31-J31))</f>
        <v/>
      </c>
      <c r="L31" s="11">
        <f>IF(OR($A31="",K31=""),"",K31-G31)</f>
        <v/>
      </c>
      <c r="M31" s="12">
        <f>IF($A31="","",IF(K31="","not counted yet",IF(ABS(L31)&lt;=$B$3,"Balanced",IF(L31&lt;0,"Short","Over"))))</f>
        <v/>
      </c>
    </row>
    <row r="32">
      <c r="A32" s="13" t="n"/>
      <c r="B32" s="14" t="n"/>
      <c r="C32" s="5" t="n"/>
      <c r="D32" s="5" t="n"/>
      <c r="E32" s="5" t="n"/>
      <c r="F32" s="5" t="n"/>
      <c r="G32" s="10">
        <f>IF($A32="","",SUMIF($A$5:$A$300,$A32,$C$5:$C$300))</f>
        <v/>
      </c>
      <c r="H32" s="10">
        <f>IF($A32="","",SUMIF($A$5:$A$300,$A32,$D$5:$D$300))</f>
        <v/>
      </c>
      <c r="I32" s="10">
        <f>IF($A32="","",SUMIF($A$5:$A$300,$A32,$E$5:$E$300))</f>
        <v/>
      </c>
      <c r="J32" s="10">
        <f>IF($A32="","",SUMIF($A$5:$A$300,$A32,$F$5:$F$300))</f>
        <v/>
      </c>
      <c r="K32" s="10">
        <f>IF($A32="","",IF(SUMPRODUCT(($A$5:$A$300=$A32)*(ISNUMBER($D$5:$D$300)+ISNUMBER($E$5:$E$300)))=0,"",H32+I32-J32))</f>
        <v/>
      </c>
      <c r="L32" s="11">
        <f>IF(OR($A32="",K32=""),"",K32-G32)</f>
        <v/>
      </c>
      <c r="M32" s="12">
        <f>IF($A32="","",IF(K32="","not counted yet",IF(ABS(L32)&lt;=$B$3,"Balanced",IF(L32&lt;0,"Short","Over"))))</f>
        <v/>
      </c>
    </row>
    <row r="33">
      <c r="A33" s="13" t="n"/>
      <c r="B33" s="14" t="n"/>
      <c r="C33" s="5" t="n"/>
      <c r="D33" s="5" t="n"/>
      <c r="E33" s="5" t="n"/>
      <c r="F33" s="5" t="n"/>
      <c r="G33" s="10">
        <f>IF($A33="","",SUMIF($A$5:$A$300,$A33,$C$5:$C$300))</f>
        <v/>
      </c>
      <c r="H33" s="10">
        <f>IF($A33="","",SUMIF($A$5:$A$300,$A33,$D$5:$D$300))</f>
        <v/>
      </c>
      <c r="I33" s="10">
        <f>IF($A33="","",SUMIF($A$5:$A$300,$A33,$E$5:$E$300))</f>
        <v/>
      </c>
      <c r="J33" s="10">
        <f>IF($A33="","",SUMIF($A$5:$A$300,$A33,$F$5:$F$300))</f>
        <v/>
      </c>
      <c r="K33" s="10">
        <f>IF($A33="","",IF(SUMPRODUCT(($A$5:$A$300=$A33)*(ISNUMBER($D$5:$D$300)+ISNUMBER($E$5:$E$300)))=0,"",H33+I33-J33))</f>
        <v/>
      </c>
      <c r="L33" s="11">
        <f>IF(OR($A33="",K33=""),"",K33-G33)</f>
        <v/>
      </c>
      <c r="M33" s="12">
        <f>IF($A33="","",IF(K33="","not counted yet",IF(ABS(L33)&lt;=$B$3,"Balanced",IF(L33&lt;0,"Short","Over"))))</f>
        <v/>
      </c>
    </row>
    <row r="34">
      <c r="A34" s="13" t="n"/>
      <c r="B34" s="14" t="n"/>
      <c r="C34" s="5" t="n"/>
      <c r="D34" s="5" t="n"/>
      <c r="E34" s="5" t="n"/>
      <c r="F34" s="5" t="n"/>
      <c r="G34" s="10">
        <f>IF($A34="","",SUMIF($A$5:$A$300,$A34,$C$5:$C$300))</f>
        <v/>
      </c>
      <c r="H34" s="10">
        <f>IF($A34="","",SUMIF($A$5:$A$300,$A34,$D$5:$D$300))</f>
        <v/>
      </c>
      <c r="I34" s="10">
        <f>IF($A34="","",SUMIF($A$5:$A$300,$A34,$E$5:$E$300))</f>
        <v/>
      </c>
      <c r="J34" s="10">
        <f>IF($A34="","",SUMIF($A$5:$A$300,$A34,$F$5:$F$300))</f>
        <v/>
      </c>
      <c r="K34" s="10">
        <f>IF($A34="","",IF(SUMPRODUCT(($A$5:$A$300=$A34)*(ISNUMBER($D$5:$D$300)+ISNUMBER($E$5:$E$300)))=0,"",H34+I34-J34))</f>
        <v/>
      </c>
      <c r="L34" s="11">
        <f>IF(OR($A34="",K34=""),"",K34-G34)</f>
        <v/>
      </c>
      <c r="M34" s="12">
        <f>IF($A34="","",IF(K34="","not counted yet",IF(ABS(L34)&lt;=$B$3,"Balanced",IF(L34&lt;0,"Short","Over"))))</f>
        <v/>
      </c>
    </row>
    <row r="35">
      <c r="A35" s="13" t="n"/>
      <c r="B35" s="14" t="n"/>
      <c r="C35" s="5" t="n"/>
      <c r="D35" s="5" t="n"/>
      <c r="E35" s="5" t="n"/>
      <c r="F35" s="5" t="n"/>
      <c r="G35" s="10">
        <f>IF($A35="","",SUMIF($A$5:$A$300,$A35,$C$5:$C$300))</f>
        <v/>
      </c>
      <c r="H35" s="10">
        <f>IF($A35="","",SUMIF($A$5:$A$300,$A35,$D$5:$D$300))</f>
        <v/>
      </c>
      <c r="I35" s="10">
        <f>IF($A35="","",SUMIF($A$5:$A$300,$A35,$E$5:$E$300))</f>
        <v/>
      </c>
      <c r="J35" s="10">
        <f>IF($A35="","",SUMIF($A$5:$A$300,$A35,$F$5:$F$300))</f>
        <v/>
      </c>
      <c r="K35" s="10">
        <f>IF($A35="","",IF(SUMPRODUCT(($A$5:$A$300=$A35)*(ISNUMBER($D$5:$D$300)+ISNUMBER($E$5:$E$300)))=0,"",H35+I35-J35))</f>
        <v/>
      </c>
      <c r="L35" s="11">
        <f>IF(OR($A35="",K35=""),"",K35-G35)</f>
        <v/>
      </c>
      <c r="M35" s="12">
        <f>IF($A35="","",IF(K35="","not counted yet",IF(ABS(L35)&lt;=$B$3,"Balanced",IF(L35&lt;0,"Short","Over"))))</f>
        <v/>
      </c>
    </row>
    <row r="36">
      <c r="A36" s="13" t="n"/>
      <c r="B36" s="14" t="n"/>
      <c r="C36" s="5" t="n"/>
      <c r="D36" s="5" t="n"/>
      <c r="E36" s="5" t="n"/>
      <c r="F36" s="5" t="n"/>
      <c r="G36" s="10">
        <f>IF($A36="","",SUMIF($A$5:$A$300,$A36,$C$5:$C$300))</f>
        <v/>
      </c>
      <c r="H36" s="10">
        <f>IF($A36="","",SUMIF($A$5:$A$300,$A36,$D$5:$D$300))</f>
        <v/>
      </c>
      <c r="I36" s="10">
        <f>IF($A36="","",SUMIF($A$5:$A$300,$A36,$E$5:$E$300))</f>
        <v/>
      </c>
      <c r="J36" s="10">
        <f>IF($A36="","",SUMIF($A$5:$A$300,$A36,$F$5:$F$300))</f>
        <v/>
      </c>
      <c r="K36" s="10">
        <f>IF($A36="","",IF(SUMPRODUCT(($A$5:$A$300=$A36)*(ISNUMBER($D$5:$D$300)+ISNUMBER($E$5:$E$300)))=0,"",H36+I36-J36))</f>
        <v/>
      </c>
      <c r="L36" s="11">
        <f>IF(OR($A36="",K36=""),"",K36-G36)</f>
        <v/>
      </c>
      <c r="M36" s="12">
        <f>IF($A36="","",IF(K36="","not counted yet",IF(ABS(L36)&lt;=$B$3,"Balanced",IF(L36&lt;0,"Short","Over"))))</f>
        <v/>
      </c>
    </row>
    <row r="37">
      <c r="A37" s="13" t="n"/>
      <c r="B37" s="14" t="n"/>
      <c r="C37" s="5" t="n"/>
      <c r="D37" s="5" t="n"/>
      <c r="E37" s="5" t="n"/>
      <c r="F37" s="5" t="n"/>
      <c r="G37" s="10">
        <f>IF($A37="","",SUMIF($A$5:$A$300,$A37,$C$5:$C$300))</f>
        <v/>
      </c>
      <c r="H37" s="10">
        <f>IF($A37="","",SUMIF($A$5:$A$300,$A37,$D$5:$D$300))</f>
        <v/>
      </c>
      <c r="I37" s="10">
        <f>IF($A37="","",SUMIF($A$5:$A$300,$A37,$E$5:$E$300))</f>
        <v/>
      </c>
      <c r="J37" s="10">
        <f>IF($A37="","",SUMIF($A$5:$A$300,$A37,$F$5:$F$300))</f>
        <v/>
      </c>
      <c r="K37" s="10">
        <f>IF($A37="","",IF(SUMPRODUCT(($A$5:$A$300=$A37)*(ISNUMBER($D$5:$D$300)+ISNUMBER($E$5:$E$300)))=0,"",H37+I37-J37))</f>
        <v/>
      </c>
      <c r="L37" s="11">
        <f>IF(OR($A37="",K37=""),"",K37-G37)</f>
        <v/>
      </c>
      <c r="M37" s="12">
        <f>IF($A37="","",IF(K37="","not counted yet",IF(ABS(L37)&lt;=$B$3,"Balanced",IF(L37&lt;0,"Short","Over"))))</f>
        <v/>
      </c>
    </row>
    <row r="38">
      <c r="A38" s="13" t="n"/>
      <c r="B38" s="14" t="n"/>
      <c r="C38" s="5" t="n"/>
      <c r="D38" s="5" t="n"/>
      <c r="E38" s="5" t="n"/>
      <c r="F38" s="5" t="n"/>
      <c r="G38" s="10">
        <f>IF($A38="","",SUMIF($A$5:$A$300,$A38,$C$5:$C$300))</f>
        <v/>
      </c>
      <c r="H38" s="10">
        <f>IF($A38="","",SUMIF($A$5:$A$300,$A38,$D$5:$D$300))</f>
        <v/>
      </c>
      <c r="I38" s="10">
        <f>IF($A38="","",SUMIF($A$5:$A$300,$A38,$E$5:$E$300))</f>
        <v/>
      </c>
      <c r="J38" s="10">
        <f>IF($A38="","",SUMIF($A$5:$A$300,$A38,$F$5:$F$300))</f>
        <v/>
      </c>
      <c r="K38" s="10">
        <f>IF($A38="","",IF(SUMPRODUCT(($A$5:$A$300=$A38)*(ISNUMBER($D$5:$D$300)+ISNUMBER($E$5:$E$300)))=0,"",H38+I38-J38))</f>
        <v/>
      </c>
      <c r="L38" s="11">
        <f>IF(OR($A38="",K38=""),"",K38-G38)</f>
        <v/>
      </c>
      <c r="M38" s="12">
        <f>IF($A38="","",IF(K38="","not counted yet",IF(ABS(L38)&lt;=$B$3,"Balanced",IF(L38&lt;0,"Short","Over"))))</f>
        <v/>
      </c>
    </row>
    <row r="39">
      <c r="A39" s="13" t="n"/>
      <c r="B39" s="14" t="n"/>
      <c r="C39" s="5" t="n"/>
      <c r="D39" s="5" t="n"/>
      <c r="E39" s="5" t="n"/>
      <c r="F39" s="5" t="n"/>
      <c r="G39" s="10">
        <f>IF($A39="","",SUMIF($A$5:$A$300,$A39,$C$5:$C$300))</f>
        <v/>
      </c>
      <c r="H39" s="10">
        <f>IF($A39="","",SUMIF($A$5:$A$300,$A39,$D$5:$D$300))</f>
        <v/>
      </c>
      <c r="I39" s="10">
        <f>IF($A39="","",SUMIF($A$5:$A$300,$A39,$E$5:$E$300))</f>
        <v/>
      </c>
      <c r="J39" s="10">
        <f>IF($A39="","",SUMIF($A$5:$A$300,$A39,$F$5:$F$300))</f>
        <v/>
      </c>
      <c r="K39" s="10">
        <f>IF($A39="","",IF(SUMPRODUCT(($A$5:$A$300=$A39)*(ISNUMBER($D$5:$D$300)+ISNUMBER($E$5:$E$300)))=0,"",H39+I39-J39))</f>
        <v/>
      </c>
      <c r="L39" s="11">
        <f>IF(OR($A39="",K39=""),"",K39-G39)</f>
        <v/>
      </c>
      <c r="M39" s="12">
        <f>IF($A39="","",IF(K39="","not counted yet",IF(ABS(L39)&lt;=$B$3,"Balanced",IF(L39&lt;0,"Short","Over"))))</f>
        <v/>
      </c>
    </row>
    <row r="40">
      <c r="A40" s="13" t="n"/>
      <c r="B40" s="14" t="n"/>
      <c r="C40" s="5" t="n"/>
      <c r="D40" s="5" t="n"/>
      <c r="E40" s="5" t="n"/>
      <c r="F40" s="5" t="n"/>
      <c r="G40" s="10">
        <f>IF($A40="","",SUMIF($A$5:$A$300,$A40,$C$5:$C$300))</f>
        <v/>
      </c>
      <c r="H40" s="10">
        <f>IF($A40="","",SUMIF($A$5:$A$300,$A40,$D$5:$D$300))</f>
        <v/>
      </c>
      <c r="I40" s="10">
        <f>IF($A40="","",SUMIF($A$5:$A$300,$A40,$E$5:$E$300))</f>
        <v/>
      </c>
      <c r="J40" s="10">
        <f>IF($A40="","",SUMIF($A$5:$A$300,$A40,$F$5:$F$300))</f>
        <v/>
      </c>
      <c r="K40" s="10">
        <f>IF($A40="","",IF(SUMPRODUCT(($A$5:$A$300=$A40)*(ISNUMBER($D$5:$D$300)+ISNUMBER($E$5:$E$300)))=0,"",H40+I40-J40))</f>
        <v/>
      </c>
      <c r="L40" s="11">
        <f>IF(OR($A40="",K40=""),"",K40-G40)</f>
        <v/>
      </c>
      <c r="M40" s="12">
        <f>IF($A40="","",IF(K40="","not counted yet",IF(ABS(L40)&lt;=$B$3,"Balanced",IF(L40&lt;0,"Short","Over"))))</f>
        <v/>
      </c>
    </row>
    <row r="41">
      <c r="A41" s="13" t="n"/>
      <c r="B41" s="14" t="n"/>
      <c r="C41" s="5" t="n"/>
      <c r="D41" s="5" t="n"/>
      <c r="E41" s="5" t="n"/>
      <c r="F41" s="5" t="n"/>
      <c r="G41" s="10">
        <f>IF($A41="","",SUMIF($A$5:$A$300,$A41,$C$5:$C$300))</f>
        <v/>
      </c>
      <c r="H41" s="10">
        <f>IF($A41="","",SUMIF($A$5:$A$300,$A41,$D$5:$D$300))</f>
        <v/>
      </c>
      <c r="I41" s="10">
        <f>IF($A41="","",SUMIF($A$5:$A$300,$A41,$E$5:$E$300))</f>
        <v/>
      </c>
      <c r="J41" s="10">
        <f>IF($A41="","",SUMIF($A$5:$A$300,$A41,$F$5:$F$300))</f>
        <v/>
      </c>
      <c r="K41" s="10">
        <f>IF($A41="","",IF(SUMPRODUCT(($A$5:$A$300=$A41)*(ISNUMBER($D$5:$D$300)+ISNUMBER($E$5:$E$300)))=0,"",H41+I41-J41))</f>
        <v/>
      </c>
      <c r="L41" s="11">
        <f>IF(OR($A41="",K41=""),"",K41-G41)</f>
        <v/>
      </c>
      <c r="M41" s="12">
        <f>IF($A41="","",IF(K41="","not counted yet",IF(ABS(L41)&lt;=$B$3,"Balanced",IF(L41&lt;0,"Short","Over"))))</f>
        <v/>
      </c>
    </row>
    <row r="42">
      <c r="A42" s="13" t="n"/>
      <c r="B42" s="14" t="n"/>
      <c r="C42" s="5" t="n"/>
      <c r="D42" s="5" t="n"/>
      <c r="E42" s="5" t="n"/>
      <c r="F42" s="5" t="n"/>
      <c r="G42" s="10">
        <f>IF($A42="","",SUMIF($A$5:$A$300,$A42,$C$5:$C$300))</f>
        <v/>
      </c>
      <c r="H42" s="10">
        <f>IF($A42="","",SUMIF($A$5:$A$300,$A42,$D$5:$D$300))</f>
        <v/>
      </c>
      <c r="I42" s="10">
        <f>IF($A42="","",SUMIF($A$5:$A$300,$A42,$E$5:$E$300))</f>
        <v/>
      </c>
      <c r="J42" s="10">
        <f>IF($A42="","",SUMIF($A$5:$A$300,$A42,$F$5:$F$300))</f>
        <v/>
      </c>
      <c r="K42" s="10">
        <f>IF($A42="","",IF(SUMPRODUCT(($A$5:$A$300=$A42)*(ISNUMBER($D$5:$D$300)+ISNUMBER($E$5:$E$300)))=0,"",H42+I42-J42))</f>
        <v/>
      </c>
      <c r="L42" s="11">
        <f>IF(OR($A42="",K42=""),"",K42-G42)</f>
        <v/>
      </c>
      <c r="M42" s="12">
        <f>IF($A42="","",IF(K42="","not counted yet",IF(ABS(L42)&lt;=$B$3,"Balanced",IF(L42&lt;0,"Short","Over"))))</f>
        <v/>
      </c>
    </row>
    <row r="43">
      <c r="A43" s="13" t="n"/>
      <c r="B43" s="14" t="n"/>
      <c r="C43" s="5" t="n"/>
      <c r="D43" s="5" t="n"/>
      <c r="E43" s="5" t="n"/>
      <c r="F43" s="5" t="n"/>
      <c r="G43" s="10">
        <f>IF($A43="","",SUMIF($A$5:$A$300,$A43,$C$5:$C$300))</f>
        <v/>
      </c>
      <c r="H43" s="10">
        <f>IF($A43="","",SUMIF($A$5:$A$300,$A43,$D$5:$D$300))</f>
        <v/>
      </c>
      <c r="I43" s="10">
        <f>IF($A43="","",SUMIF($A$5:$A$300,$A43,$E$5:$E$300))</f>
        <v/>
      </c>
      <c r="J43" s="10">
        <f>IF($A43="","",SUMIF($A$5:$A$300,$A43,$F$5:$F$300))</f>
        <v/>
      </c>
      <c r="K43" s="10">
        <f>IF($A43="","",IF(SUMPRODUCT(($A$5:$A$300=$A43)*(ISNUMBER($D$5:$D$300)+ISNUMBER($E$5:$E$300)))=0,"",H43+I43-J43))</f>
        <v/>
      </c>
      <c r="L43" s="11">
        <f>IF(OR($A43="",K43=""),"",K43-G43)</f>
        <v/>
      </c>
      <c r="M43" s="12">
        <f>IF($A43="","",IF(K43="","not counted yet",IF(ABS(L43)&lt;=$B$3,"Balanced",IF(L43&lt;0,"Short","Over"))))</f>
        <v/>
      </c>
    </row>
    <row r="44">
      <c r="A44" s="13" t="n"/>
      <c r="B44" s="14" t="n"/>
      <c r="C44" s="5" t="n"/>
      <c r="D44" s="5" t="n"/>
      <c r="E44" s="5" t="n"/>
      <c r="F44" s="5" t="n"/>
      <c r="G44" s="10">
        <f>IF($A44="","",SUMIF($A$5:$A$300,$A44,$C$5:$C$300))</f>
        <v/>
      </c>
      <c r="H44" s="10">
        <f>IF($A44="","",SUMIF($A$5:$A$300,$A44,$D$5:$D$300))</f>
        <v/>
      </c>
      <c r="I44" s="10">
        <f>IF($A44="","",SUMIF($A$5:$A$300,$A44,$E$5:$E$300))</f>
        <v/>
      </c>
      <c r="J44" s="10">
        <f>IF($A44="","",SUMIF($A$5:$A$300,$A44,$F$5:$F$300))</f>
        <v/>
      </c>
      <c r="K44" s="10">
        <f>IF($A44="","",IF(SUMPRODUCT(($A$5:$A$300=$A44)*(ISNUMBER($D$5:$D$300)+ISNUMBER($E$5:$E$300)))=0,"",H44+I44-J44))</f>
        <v/>
      </c>
      <c r="L44" s="11">
        <f>IF(OR($A44="",K44=""),"",K44-G44)</f>
        <v/>
      </c>
      <c r="M44" s="12">
        <f>IF($A44="","",IF(K44="","not counted yet",IF(ABS(L44)&lt;=$B$3,"Balanced",IF(L44&lt;0,"Short","Over"))))</f>
        <v/>
      </c>
    </row>
    <row r="45">
      <c r="A45" s="13" t="n"/>
      <c r="B45" s="14" t="n"/>
      <c r="C45" s="5" t="n"/>
      <c r="D45" s="5" t="n"/>
      <c r="E45" s="5" t="n"/>
      <c r="F45" s="5" t="n"/>
      <c r="G45" s="10">
        <f>IF($A45="","",SUMIF($A$5:$A$300,$A45,$C$5:$C$300))</f>
        <v/>
      </c>
      <c r="H45" s="10">
        <f>IF($A45="","",SUMIF($A$5:$A$300,$A45,$D$5:$D$300))</f>
        <v/>
      </c>
      <c r="I45" s="10">
        <f>IF($A45="","",SUMIF($A$5:$A$300,$A45,$E$5:$E$300))</f>
        <v/>
      </c>
      <c r="J45" s="10">
        <f>IF($A45="","",SUMIF($A$5:$A$300,$A45,$F$5:$F$300))</f>
        <v/>
      </c>
      <c r="K45" s="10">
        <f>IF($A45="","",IF(SUMPRODUCT(($A$5:$A$300=$A45)*(ISNUMBER($D$5:$D$300)+ISNUMBER($E$5:$E$300)))=0,"",H45+I45-J45))</f>
        <v/>
      </c>
      <c r="L45" s="11">
        <f>IF(OR($A45="",K45=""),"",K45-G45)</f>
        <v/>
      </c>
      <c r="M45" s="12">
        <f>IF($A45="","",IF(K45="","not counted yet",IF(ABS(L45)&lt;=$B$3,"Balanced",IF(L45&lt;0,"Short","Over"))))</f>
        <v/>
      </c>
    </row>
    <row r="46">
      <c r="A46" s="13" t="n"/>
      <c r="B46" s="14" t="n"/>
      <c r="C46" s="5" t="n"/>
      <c r="D46" s="5" t="n"/>
      <c r="E46" s="5" t="n"/>
      <c r="F46" s="5" t="n"/>
      <c r="G46" s="10">
        <f>IF($A46="","",SUMIF($A$5:$A$300,$A46,$C$5:$C$300))</f>
        <v/>
      </c>
      <c r="H46" s="10">
        <f>IF($A46="","",SUMIF($A$5:$A$300,$A46,$D$5:$D$300))</f>
        <v/>
      </c>
      <c r="I46" s="10">
        <f>IF($A46="","",SUMIF($A$5:$A$300,$A46,$E$5:$E$300))</f>
        <v/>
      </c>
      <c r="J46" s="10">
        <f>IF($A46="","",SUMIF($A$5:$A$300,$A46,$F$5:$F$300))</f>
        <v/>
      </c>
      <c r="K46" s="10">
        <f>IF($A46="","",IF(SUMPRODUCT(($A$5:$A$300=$A46)*(ISNUMBER($D$5:$D$300)+ISNUMBER($E$5:$E$300)))=0,"",H46+I46-J46))</f>
        <v/>
      </c>
      <c r="L46" s="11">
        <f>IF(OR($A46="",K46=""),"",K46-G46)</f>
        <v/>
      </c>
      <c r="M46" s="12">
        <f>IF($A46="","",IF(K46="","not counted yet",IF(ABS(L46)&lt;=$B$3,"Balanced",IF(L46&lt;0,"Short","Over"))))</f>
        <v/>
      </c>
    </row>
    <row r="47">
      <c r="A47" s="13" t="n"/>
      <c r="B47" s="14" t="n"/>
      <c r="C47" s="5" t="n"/>
      <c r="D47" s="5" t="n"/>
      <c r="E47" s="5" t="n"/>
      <c r="F47" s="5" t="n"/>
      <c r="G47" s="10">
        <f>IF($A47="","",SUMIF($A$5:$A$300,$A47,$C$5:$C$300))</f>
        <v/>
      </c>
      <c r="H47" s="10">
        <f>IF($A47="","",SUMIF($A$5:$A$300,$A47,$D$5:$D$300))</f>
        <v/>
      </c>
      <c r="I47" s="10">
        <f>IF($A47="","",SUMIF($A$5:$A$300,$A47,$E$5:$E$300))</f>
        <v/>
      </c>
      <c r="J47" s="10">
        <f>IF($A47="","",SUMIF($A$5:$A$300,$A47,$F$5:$F$300))</f>
        <v/>
      </c>
      <c r="K47" s="10">
        <f>IF($A47="","",IF(SUMPRODUCT(($A$5:$A$300=$A47)*(ISNUMBER($D$5:$D$300)+ISNUMBER($E$5:$E$300)))=0,"",H47+I47-J47))</f>
        <v/>
      </c>
      <c r="L47" s="11">
        <f>IF(OR($A47="",K47=""),"",K47-G47)</f>
        <v/>
      </c>
      <c r="M47" s="12">
        <f>IF($A47="","",IF(K47="","not counted yet",IF(ABS(L47)&lt;=$B$3,"Balanced",IF(L47&lt;0,"Short","Over"))))</f>
        <v/>
      </c>
    </row>
    <row r="48">
      <c r="A48" s="13" t="n"/>
      <c r="B48" s="14" t="n"/>
      <c r="C48" s="5" t="n"/>
      <c r="D48" s="5" t="n"/>
      <c r="E48" s="5" t="n"/>
      <c r="F48" s="5" t="n"/>
      <c r="G48" s="10">
        <f>IF($A48="","",SUMIF($A$5:$A$300,$A48,$C$5:$C$300))</f>
        <v/>
      </c>
      <c r="H48" s="10">
        <f>IF($A48="","",SUMIF($A$5:$A$300,$A48,$D$5:$D$300))</f>
        <v/>
      </c>
      <c r="I48" s="10">
        <f>IF($A48="","",SUMIF($A$5:$A$300,$A48,$E$5:$E$300))</f>
        <v/>
      </c>
      <c r="J48" s="10">
        <f>IF($A48="","",SUMIF($A$5:$A$300,$A48,$F$5:$F$300))</f>
        <v/>
      </c>
      <c r="K48" s="10">
        <f>IF($A48="","",IF(SUMPRODUCT(($A$5:$A$300=$A48)*(ISNUMBER($D$5:$D$300)+ISNUMBER($E$5:$E$300)))=0,"",H48+I48-J48))</f>
        <v/>
      </c>
      <c r="L48" s="11">
        <f>IF(OR($A48="",K48=""),"",K48-G48)</f>
        <v/>
      </c>
      <c r="M48" s="12">
        <f>IF($A48="","",IF(K48="","not counted yet",IF(ABS(L48)&lt;=$B$3,"Balanced",IF(L48&lt;0,"Short","Over"))))</f>
        <v/>
      </c>
    </row>
    <row r="49">
      <c r="A49" s="13" t="n"/>
      <c r="B49" s="14" t="n"/>
      <c r="C49" s="5" t="n"/>
      <c r="D49" s="5" t="n"/>
      <c r="E49" s="5" t="n"/>
      <c r="F49" s="5" t="n"/>
      <c r="G49" s="10">
        <f>IF($A49="","",SUMIF($A$5:$A$300,$A49,$C$5:$C$300))</f>
        <v/>
      </c>
      <c r="H49" s="10">
        <f>IF($A49="","",SUMIF($A$5:$A$300,$A49,$D$5:$D$300))</f>
        <v/>
      </c>
      <c r="I49" s="10">
        <f>IF($A49="","",SUMIF($A$5:$A$300,$A49,$E$5:$E$300))</f>
        <v/>
      </c>
      <c r="J49" s="10">
        <f>IF($A49="","",SUMIF($A$5:$A$300,$A49,$F$5:$F$300))</f>
        <v/>
      </c>
      <c r="K49" s="10">
        <f>IF($A49="","",IF(SUMPRODUCT(($A$5:$A$300=$A49)*(ISNUMBER($D$5:$D$300)+ISNUMBER($E$5:$E$300)))=0,"",H49+I49-J49))</f>
        <v/>
      </c>
      <c r="L49" s="11">
        <f>IF(OR($A49="",K49=""),"",K49-G49)</f>
        <v/>
      </c>
      <c r="M49" s="12">
        <f>IF($A49="","",IF(K49="","not counted yet",IF(ABS(L49)&lt;=$B$3,"Balanced",IF(L49&lt;0,"Short","Over"))))</f>
        <v/>
      </c>
    </row>
    <row r="50">
      <c r="A50" s="13" t="n"/>
      <c r="B50" s="14" t="n"/>
      <c r="C50" s="5" t="n"/>
      <c r="D50" s="5" t="n"/>
      <c r="E50" s="5" t="n"/>
      <c r="F50" s="5" t="n"/>
      <c r="G50" s="10">
        <f>IF($A50="","",SUMIF($A$5:$A$300,$A50,$C$5:$C$300))</f>
        <v/>
      </c>
      <c r="H50" s="10">
        <f>IF($A50="","",SUMIF($A$5:$A$300,$A50,$D$5:$D$300))</f>
        <v/>
      </c>
      <c r="I50" s="10">
        <f>IF($A50="","",SUMIF($A$5:$A$300,$A50,$E$5:$E$300))</f>
        <v/>
      </c>
      <c r="J50" s="10">
        <f>IF($A50="","",SUMIF($A$5:$A$300,$A50,$F$5:$F$300))</f>
        <v/>
      </c>
      <c r="K50" s="10">
        <f>IF($A50="","",IF(SUMPRODUCT(($A$5:$A$300=$A50)*(ISNUMBER($D$5:$D$300)+ISNUMBER($E$5:$E$300)))=0,"",H50+I50-J50))</f>
        <v/>
      </c>
      <c r="L50" s="11">
        <f>IF(OR($A50="",K50=""),"",K50-G50)</f>
        <v/>
      </c>
      <c r="M50" s="12">
        <f>IF($A50="","",IF(K50="","not counted yet",IF(ABS(L50)&lt;=$B$3,"Balanced",IF(L50&lt;0,"Short","Over"))))</f>
        <v/>
      </c>
    </row>
    <row r="51">
      <c r="A51" s="13" t="n"/>
      <c r="B51" s="14" t="n"/>
      <c r="C51" s="5" t="n"/>
      <c r="D51" s="5" t="n"/>
      <c r="E51" s="5" t="n"/>
      <c r="F51" s="5" t="n"/>
      <c r="G51" s="10">
        <f>IF($A51="","",SUMIF($A$5:$A$300,$A51,$C$5:$C$300))</f>
        <v/>
      </c>
      <c r="H51" s="10">
        <f>IF($A51="","",SUMIF($A$5:$A$300,$A51,$D$5:$D$300))</f>
        <v/>
      </c>
      <c r="I51" s="10">
        <f>IF($A51="","",SUMIF($A$5:$A$300,$A51,$E$5:$E$300))</f>
        <v/>
      </c>
      <c r="J51" s="10">
        <f>IF($A51="","",SUMIF($A$5:$A$300,$A51,$F$5:$F$300))</f>
        <v/>
      </c>
      <c r="K51" s="10">
        <f>IF($A51="","",IF(SUMPRODUCT(($A$5:$A$300=$A51)*(ISNUMBER($D$5:$D$300)+ISNUMBER($E$5:$E$300)))=0,"",H51+I51-J51))</f>
        <v/>
      </c>
      <c r="L51" s="11">
        <f>IF(OR($A51="",K51=""),"",K51-G51)</f>
        <v/>
      </c>
      <c r="M51" s="12">
        <f>IF($A51="","",IF(K51="","not counted yet",IF(ABS(L51)&lt;=$B$3,"Balanced",IF(L51&lt;0,"Short","Over"))))</f>
        <v/>
      </c>
    </row>
    <row r="52">
      <c r="A52" s="13" t="n"/>
      <c r="B52" s="14" t="n"/>
      <c r="C52" s="5" t="n"/>
      <c r="D52" s="5" t="n"/>
      <c r="E52" s="5" t="n"/>
      <c r="F52" s="5" t="n"/>
      <c r="G52" s="10">
        <f>IF($A52="","",SUMIF($A$5:$A$300,$A52,$C$5:$C$300))</f>
        <v/>
      </c>
      <c r="H52" s="10">
        <f>IF($A52="","",SUMIF($A$5:$A$300,$A52,$D$5:$D$300))</f>
        <v/>
      </c>
      <c r="I52" s="10">
        <f>IF($A52="","",SUMIF($A$5:$A$300,$A52,$E$5:$E$300))</f>
        <v/>
      </c>
      <c r="J52" s="10">
        <f>IF($A52="","",SUMIF($A$5:$A$300,$A52,$F$5:$F$300))</f>
        <v/>
      </c>
      <c r="K52" s="10">
        <f>IF($A52="","",IF(SUMPRODUCT(($A$5:$A$300=$A52)*(ISNUMBER($D$5:$D$300)+ISNUMBER($E$5:$E$300)))=0,"",H52+I52-J52))</f>
        <v/>
      </c>
      <c r="L52" s="11">
        <f>IF(OR($A52="",K52=""),"",K52-G52)</f>
        <v/>
      </c>
      <c r="M52" s="12">
        <f>IF($A52="","",IF(K52="","not counted yet",IF(ABS(L52)&lt;=$B$3,"Balanced",IF(L52&lt;0,"Short","Over"))))</f>
        <v/>
      </c>
    </row>
    <row r="53">
      <c r="A53" s="13" t="n"/>
      <c r="B53" s="14" t="n"/>
      <c r="C53" s="5" t="n"/>
      <c r="D53" s="5" t="n"/>
      <c r="E53" s="5" t="n"/>
      <c r="F53" s="5" t="n"/>
      <c r="G53" s="10">
        <f>IF($A53="","",SUMIF($A$5:$A$300,$A53,$C$5:$C$300))</f>
        <v/>
      </c>
      <c r="H53" s="10">
        <f>IF($A53="","",SUMIF($A$5:$A$300,$A53,$D$5:$D$300))</f>
        <v/>
      </c>
      <c r="I53" s="10">
        <f>IF($A53="","",SUMIF($A$5:$A$300,$A53,$E$5:$E$300))</f>
        <v/>
      </c>
      <c r="J53" s="10">
        <f>IF($A53="","",SUMIF($A$5:$A$300,$A53,$F$5:$F$300))</f>
        <v/>
      </c>
      <c r="K53" s="10">
        <f>IF($A53="","",IF(SUMPRODUCT(($A$5:$A$300=$A53)*(ISNUMBER($D$5:$D$300)+ISNUMBER($E$5:$E$300)))=0,"",H53+I53-J53))</f>
        <v/>
      </c>
      <c r="L53" s="11">
        <f>IF(OR($A53="",K53=""),"",K53-G53)</f>
        <v/>
      </c>
      <c r="M53" s="12">
        <f>IF($A53="","",IF(K53="","not counted yet",IF(ABS(L53)&lt;=$B$3,"Balanced",IF(L53&lt;0,"Short","Over"))))</f>
        <v/>
      </c>
    </row>
    <row r="54">
      <c r="A54" s="13" t="n"/>
      <c r="B54" s="14" t="n"/>
      <c r="C54" s="5" t="n"/>
      <c r="D54" s="5" t="n"/>
      <c r="E54" s="5" t="n"/>
      <c r="F54" s="5" t="n"/>
      <c r="G54" s="10">
        <f>IF($A54="","",SUMIF($A$5:$A$300,$A54,$C$5:$C$300))</f>
        <v/>
      </c>
      <c r="H54" s="10">
        <f>IF($A54="","",SUMIF($A$5:$A$300,$A54,$D$5:$D$300))</f>
        <v/>
      </c>
      <c r="I54" s="10">
        <f>IF($A54="","",SUMIF($A$5:$A$300,$A54,$E$5:$E$300))</f>
        <v/>
      </c>
      <c r="J54" s="10">
        <f>IF($A54="","",SUMIF($A$5:$A$300,$A54,$F$5:$F$300))</f>
        <v/>
      </c>
      <c r="K54" s="10">
        <f>IF($A54="","",IF(SUMPRODUCT(($A$5:$A$300=$A54)*(ISNUMBER($D$5:$D$300)+ISNUMBER($E$5:$E$300)))=0,"",H54+I54-J54))</f>
        <v/>
      </c>
      <c r="L54" s="11">
        <f>IF(OR($A54="",K54=""),"",K54-G54)</f>
        <v/>
      </c>
      <c r="M54" s="12">
        <f>IF($A54="","",IF(K54="","not counted yet",IF(ABS(L54)&lt;=$B$3,"Balanced",IF(L54&lt;0,"Short","Over"))))</f>
        <v/>
      </c>
    </row>
    <row r="55">
      <c r="A55" s="13" t="n"/>
      <c r="B55" s="14" t="n"/>
      <c r="C55" s="5" t="n"/>
      <c r="D55" s="5" t="n"/>
      <c r="E55" s="5" t="n"/>
      <c r="F55" s="5" t="n"/>
      <c r="G55" s="10">
        <f>IF($A55="","",SUMIF($A$5:$A$300,$A55,$C$5:$C$300))</f>
        <v/>
      </c>
      <c r="H55" s="10">
        <f>IF($A55="","",SUMIF($A$5:$A$300,$A55,$D$5:$D$300))</f>
        <v/>
      </c>
      <c r="I55" s="10">
        <f>IF($A55="","",SUMIF($A$5:$A$300,$A55,$E$5:$E$300))</f>
        <v/>
      </c>
      <c r="J55" s="10">
        <f>IF($A55="","",SUMIF($A$5:$A$300,$A55,$F$5:$F$300))</f>
        <v/>
      </c>
      <c r="K55" s="10">
        <f>IF($A55="","",IF(SUMPRODUCT(($A$5:$A$300=$A55)*(ISNUMBER($D$5:$D$300)+ISNUMBER($E$5:$E$300)))=0,"",H55+I55-J55))</f>
        <v/>
      </c>
      <c r="L55" s="11">
        <f>IF(OR($A55="",K55=""),"",K55-G55)</f>
        <v/>
      </c>
      <c r="M55" s="12">
        <f>IF($A55="","",IF(K55="","not counted yet",IF(ABS(L55)&lt;=$B$3,"Balanced",IF(L55&lt;0,"Short","Over"))))</f>
        <v/>
      </c>
    </row>
    <row r="56">
      <c r="A56" s="13" t="n"/>
      <c r="B56" s="14" t="n"/>
      <c r="C56" s="5" t="n"/>
      <c r="D56" s="5" t="n"/>
      <c r="E56" s="5" t="n"/>
      <c r="F56" s="5" t="n"/>
      <c r="G56" s="10">
        <f>IF($A56="","",SUMIF($A$5:$A$300,$A56,$C$5:$C$300))</f>
        <v/>
      </c>
      <c r="H56" s="10">
        <f>IF($A56="","",SUMIF($A$5:$A$300,$A56,$D$5:$D$300))</f>
        <v/>
      </c>
      <c r="I56" s="10">
        <f>IF($A56="","",SUMIF($A$5:$A$300,$A56,$E$5:$E$300))</f>
        <v/>
      </c>
      <c r="J56" s="10">
        <f>IF($A56="","",SUMIF($A$5:$A$300,$A56,$F$5:$F$300))</f>
        <v/>
      </c>
      <c r="K56" s="10">
        <f>IF($A56="","",IF(SUMPRODUCT(($A$5:$A$300=$A56)*(ISNUMBER($D$5:$D$300)+ISNUMBER($E$5:$E$300)))=0,"",H56+I56-J56))</f>
        <v/>
      </c>
      <c r="L56" s="11">
        <f>IF(OR($A56="",K56=""),"",K56-G56)</f>
        <v/>
      </c>
      <c r="M56" s="12">
        <f>IF($A56="","",IF(K56="","not counted yet",IF(ABS(L56)&lt;=$B$3,"Balanced",IF(L56&lt;0,"Short","Over"))))</f>
        <v/>
      </c>
    </row>
    <row r="57">
      <c r="A57" s="13" t="n"/>
      <c r="B57" s="14" t="n"/>
      <c r="C57" s="5" t="n"/>
      <c r="D57" s="5" t="n"/>
      <c r="E57" s="5" t="n"/>
      <c r="F57" s="5" t="n"/>
      <c r="G57" s="10">
        <f>IF($A57="","",SUMIF($A$5:$A$300,$A57,$C$5:$C$300))</f>
        <v/>
      </c>
      <c r="H57" s="10">
        <f>IF($A57="","",SUMIF($A$5:$A$300,$A57,$D$5:$D$300))</f>
        <v/>
      </c>
      <c r="I57" s="10">
        <f>IF($A57="","",SUMIF($A$5:$A$300,$A57,$E$5:$E$300))</f>
        <v/>
      </c>
      <c r="J57" s="10">
        <f>IF($A57="","",SUMIF($A$5:$A$300,$A57,$F$5:$F$300))</f>
        <v/>
      </c>
      <c r="K57" s="10">
        <f>IF($A57="","",IF(SUMPRODUCT(($A$5:$A$300=$A57)*(ISNUMBER($D$5:$D$300)+ISNUMBER($E$5:$E$300)))=0,"",H57+I57-J57))</f>
        <v/>
      </c>
      <c r="L57" s="11">
        <f>IF(OR($A57="",K57=""),"",K57-G57)</f>
        <v/>
      </c>
      <c r="M57" s="12">
        <f>IF($A57="","",IF(K57="","not counted yet",IF(ABS(L57)&lt;=$B$3,"Balanced",IF(L57&lt;0,"Short","Over"))))</f>
        <v/>
      </c>
    </row>
    <row r="58">
      <c r="A58" s="13" t="n"/>
      <c r="B58" s="14" t="n"/>
      <c r="C58" s="5" t="n"/>
      <c r="D58" s="5" t="n"/>
      <c r="E58" s="5" t="n"/>
      <c r="F58" s="5" t="n"/>
      <c r="G58" s="10">
        <f>IF($A58="","",SUMIF($A$5:$A$300,$A58,$C$5:$C$300))</f>
        <v/>
      </c>
      <c r="H58" s="10">
        <f>IF($A58="","",SUMIF($A$5:$A$300,$A58,$D$5:$D$300))</f>
        <v/>
      </c>
      <c r="I58" s="10">
        <f>IF($A58="","",SUMIF($A$5:$A$300,$A58,$E$5:$E$300))</f>
        <v/>
      </c>
      <c r="J58" s="10">
        <f>IF($A58="","",SUMIF($A$5:$A$300,$A58,$F$5:$F$300))</f>
        <v/>
      </c>
      <c r="K58" s="10">
        <f>IF($A58="","",IF(SUMPRODUCT(($A$5:$A$300=$A58)*(ISNUMBER($D$5:$D$300)+ISNUMBER($E$5:$E$300)))=0,"",H58+I58-J58))</f>
        <v/>
      </c>
      <c r="L58" s="11">
        <f>IF(OR($A58="",K58=""),"",K58-G58)</f>
        <v/>
      </c>
      <c r="M58" s="12">
        <f>IF($A58="","",IF(K58="","not counted yet",IF(ABS(L58)&lt;=$B$3,"Balanced",IF(L58&lt;0,"Short","Over"))))</f>
        <v/>
      </c>
    </row>
    <row r="59">
      <c r="A59" s="13" t="n"/>
      <c r="B59" s="14" t="n"/>
      <c r="C59" s="5" t="n"/>
      <c r="D59" s="5" t="n"/>
      <c r="E59" s="5" t="n"/>
      <c r="F59" s="5" t="n"/>
      <c r="G59" s="10">
        <f>IF($A59="","",SUMIF($A$5:$A$300,$A59,$C$5:$C$300))</f>
        <v/>
      </c>
      <c r="H59" s="10">
        <f>IF($A59="","",SUMIF($A$5:$A$300,$A59,$D$5:$D$300))</f>
        <v/>
      </c>
      <c r="I59" s="10">
        <f>IF($A59="","",SUMIF($A$5:$A$300,$A59,$E$5:$E$300))</f>
        <v/>
      </c>
      <c r="J59" s="10">
        <f>IF($A59="","",SUMIF($A$5:$A$300,$A59,$F$5:$F$300))</f>
        <v/>
      </c>
      <c r="K59" s="10">
        <f>IF($A59="","",IF(SUMPRODUCT(($A$5:$A$300=$A59)*(ISNUMBER($D$5:$D$300)+ISNUMBER($E$5:$E$300)))=0,"",H59+I59-J59))</f>
        <v/>
      </c>
      <c r="L59" s="11">
        <f>IF(OR($A59="",K59=""),"",K59-G59)</f>
        <v/>
      </c>
      <c r="M59" s="12">
        <f>IF($A59="","",IF(K59="","not counted yet",IF(ABS(L59)&lt;=$B$3,"Balanced",IF(L59&lt;0,"Short","Over"))))</f>
        <v/>
      </c>
    </row>
    <row r="60">
      <c r="A60" s="13" t="n"/>
      <c r="B60" s="14" t="n"/>
      <c r="C60" s="5" t="n"/>
      <c r="D60" s="5" t="n"/>
      <c r="E60" s="5" t="n"/>
      <c r="F60" s="5" t="n"/>
      <c r="G60" s="10">
        <f>IF($A60="","",SUMIF($A$5:$A$300,$A60,$C$5:$C$300))</f>
        <v/>
      </c>
      <c r="H60" s="10">
        <f>IF($A60="","",SUMIF($A$5:$A$300,$A60,$D$5:$D$300))</f>
        <v/>
      </c>
      <c r="I60" s="10">
        <f>IF($A60="","",SUMIF($A$5:$A$300,$A60,$E$5:$E$300))</f>
        <v/>
      </c>
      <c r="J60" s="10">
        <f>IF($A60="","",SUMIF($A$5:$A$300,$A60,$F$5:$F$300))</f>
        <v/>
      </c>
      <c r="K60" s="10">
        <f>IF($A60="","",IF(SUMPRODUCT(($A$5:$A$300=$A60)*(ISNUMBER($D$5:$D$300)+ISNUMBER($E$5:$E$300)))=0,"",H60+I60-J60))</f>
        <v/>
      </c>
      <c r="L60" s="11">
        <f>IF(OR($A60="",K60=""),"",K60-G60)</f>
        <v/>
      </c>
      <c r="M60" s="12">
        <f>IF($A60="","",IF(K60="","not counted yet",IF(ABS(L60)&lt;=$B$3,"Balanced",IF(L60&lt;0,"Short","Over"))))</f>
        <v/>
      </c>
    </row>
    <row r="61">
      <c r="A61" s="13" t="n"/>
      <c r="B61" s="14" t="n"/>
      <c r="C61" s="5" t="n"/>
      <c r="D61" s="5" t="n"/>
      <c r="E61" s="5" t="n"/>
      <c r="F61" s="5" t="n"/>
      <c r="G61" s="10">
        <f>IF($A61="","",SUMIF($A$5:$A$300,$A61,$C$5:$C$300))</f>
        <v/>
      </c>
      <c r="H61" s="10">
        <f>IF($A61="","",SUMIF($A$5:$A$300,$A61,$D$5:$D$300))</f>
        <v/>
      </c>
      <c r="I61" s="10">
        <f>IF($A61="","",SUMIF($A$5:$A$300,$A61,$E$5:$E$300))</f>
        <v/>
      </c>
      <c r="J61" s="10">
        <f>IF($A61="","",SUMIF($A$5:$A$300,$A61,$F$5:$F$300))</f>
        <v/>
      </c>
      <c r="K61" s="10">
        <f>IF($A61="","",IF(SUMPRODUCT(($A$5:$A$300=$A61)*(ISNUMBER($D$5:$D$300)+ISNUMBER($E$5:$E$300)))=0,"",H61+I61-J61))</f>
        <v/>
      </c>
      <c r="L61" s="11">
        <f>IF(OR($A61="",K61=""),"",K61-G61)</f>
        <v/>
      </c>
      <c r="M61" s="12">
        <f>IF($A61="","",IF(K61="","not counted yet",IF(ABS(L61)&lt;=$B$3,"Balanced",IF(L61&lt;0,"Short","Over"))))</f>
        <v/>
      </c>
    </row>
    <row r="62">
      <c r="A62" s="13" t="n"/>
      <c r="B62" s="14" t="n"/>
      <c r="C62" s="5" t="n"/>
      <c r="D62" s="5" t="n"/>
      <c r="E62" s="5" t="n"/>
      <c r="F62" s="5" t="n"/>
      <c r="G62" s="10">
        <f>IF($A62="","",SUMIF($A$5:$A$300,$A62,$C$5:$C$300))</f>
        <v/>
      </c>
      <c r="H62" s="10">
        <f>IF($A62="","",SUMIF($A$5:$A$300,$A62,$D$5:$D$300))</f>
        <v/>
      </c>
      <c r="I62" s="10">
        <f>IF($A62="","",SUMIF($A$5:$A$300,$A62,$E$5:$E$300))</f>
        <v/>
      </c>
      <c r="J62" s="10">
        <f>IF($A62="","",SUMIF($A$5:$A$300,$A62,$F$5:$F$300))</f>
        <v/>
      </c>
      <c r="K62" s="10">
        <f>IF($A62="","",IF(SUMPRODUCT(($A$5:$A$300=$A62)*(ISNUMBER($D$5:$D$300)+ISNUMBER($E$5:$E$300)))=0,"",H62+I62-J62))</f>
        <v/>
      </c>
      <c r="L62" s="11">
        <f>IF(OR($A62="",K62=""),"",K62-G62)</f>
        <v/>
      </c>
      <c r="M62" s="12">
        <f>IF($A62="","",IF(K62="","not counted yet",IF(ABS(L62)&lt;=$B$3,"Balanced",IF(L62&lt;0,"Short","Over"))))</f>
        <v/>
      </c>
    </row>
    <row r="63">
      <c r="A63" s="13" t="n"/>
      <c r="B63" s="14" t="n"/>
      <c r="C63" s="5" t="n"/>
      <c r="D63" s="5" t="n"/>
      <c r="E63" s="5" t="n"/>
      <c r="F63" s="5" t="n"/>
      <c r="G63" s="10">
        <f>IF($A63="","",SUMIF($A$5:$A$300,$A63,$C$5:$C$300))</f>
        <v/>
      </c>
      <c r="H63" s="10">
        <f>IF($A63="","",SUMIF($A$5:$A$300,$A63,$D$5:$D$300))</f>
        <v/>
      </c>
      <c r="I63" s="10">
        <f>IF($A63="","",SUMIF($A$5:$A$300,$A63,$E$5:$E$300))</f>
        <v/>
      </c>
      <c r="J63" s="10">
        <f>IF($A63="","",SUMIF($A$5:$A$300,$A63,$F$5:$F$300))</f>
        <v/>
      </c>
      <c r="K63" s="10">
        <f>IF($A63="","",IF(SUMPRODUCT(($A$5:$A$300=$A63)*(ISNUMBER($D$5:$D$300)+ISNUMBER($E$5:$E$300)))=0,"",H63+I63-J63))</f>
        <v/>
      </c>
      <c r="L63" s="11">
        <f>IF(OR($A63="",K63=""),"",K63-G63)</f>
        <v/>
      </c>
      <c r="M63" s="12">
        <f>IF($A63="","",IF(K63="","not counted yet",IF(ABS(L63)&lt;=$B$3,"Balanced",IF(L63&lt;0,"Short","Over"))))</f>
        <v/>
      </c>
    </row>
    <row r="64">
      <c r="A64" s="13" t="n"/>
      <c r="B64" s="14" t="n"/>
      <c r="C64" s="5" t="n"/>
      <c r="D64" s="5" t="n"/>
      <c r="E64" s="5" t="n"/>
      <c r="F64" s="5" t="n"/>
      <c r="G64" s="10">
        <f>IF($A64="","",SUMIF($A$5:$A$300,$A64,$C$5:$C$300))</f>
        <v/>
      </c>
      <c r="H64" s="10">
        <f>IF($A64="","",SUMIF($A$5:$A$300,$A64,$D$5:$D$300))</f>
        <v/>
      </c>
      <c r="I64" s="10">
        <f>IF($A64="","",SUMIF($A$5:$A$300,$A64,$E$5:$E$300))</f>
        <v/>
      </c>
      <c r="J64" s="10">
        <f>IF($A64="","",SUMIF($A$5:$A$300,$A64,$F$5:$F$300))</f>
        <v/>
      </c>
      <c r="K64" s="10">
        <f>IF($A64="","",IF(SUMPRODUCT(($A$5:$A$300=$A64)*(ISNUMBER($D$5:$D$300)+ISNUMBER($E$5:$E$300)))=0,"",H64+I64-J64))</f>
        <v/>
      </c>
      <c r="L64" s="11">
        <f>IF(OR($A64="",K64=""),"",K64-G64)</f>
        <v/>
      </c>
      <c r="M64" s="12">
        <f>IF($A64="","",IF(K64="","not counted yet",IF(ABS(L64)&lt;=$B$3,"Balanced",IF(L64&lt;0,"Short","Over"))))</f>
        <v/>
      </c>
    </row>
    <row r="65">
      <c r="A65" s="13" t="n"/>
      <c r="B65" s="14" t="n"/>
      <c r="C65" s="5" t="n"/>
      <c r="D65" s="5" t="n"/>
      <c r="E65" s="5" t="n"/>
      <c r="F65" s="5" t="n"/>
      <c r="G65" s="10">
        <f>IF($A65="","",SUMIF($A$5:$A$300,$A65,$C$5:$C$300))</f>
        <v/>
      </c>
      <c r="H65" s="10">
        <f>IF($A65="","",SUMIF($A$5:$A$300,$A65,$D$5:$D$300))</f>
        <v/>
      </c>
      <c r="I65" s="10">
        <f>IF($A65="","",SUMIF($A$5:$A$300,$A65,$E$5:$E$300))</f>
        <v/>
      </c>
      <c r="J65" s="10">
        <f>IF($A65="","",SUMIF($A$5:$A$300,$A65,$F$5:$F$300))</f>
        <v/>
      </c>
      <c r="K65" s="10">
        <f>IF($A65="","",IF(SUMPRODUCT(($A$5:$A$300=$A65)*(ISNUMBER($D$5:$D$300)+ISNUMBER($E$5:$E$300)))=0,"",H65+I65-J65))</f>
        <v/>
      </c>
      <c r="L65" s="11">
        <f>IF(OR($A65="",K65=""),"",K65-G65)</f>
        <v/>
      </c>
      <c r="M65" s="12">
        <f>IF($A65="","",IF(K65="","not counted yet",IF(ABS(L65)&lt;=$B$3,"Balanced",IF(L65&lt;0,"Short","Over"))))</f>
        <v/>
      </c>
    </row>
    <row r="66">
      <c r="A66" s="13" t="n"/>
      <c r="B66" s="14" t="n"/>
      <c r="C66" s="5" t="n"/>
      <c r="D66" s="5" t="n"/>
      <c r="E66" s="5" t="n"/>
      <c r="F66" s="5" t="n"/>
      <c r="G66" s="10">
        <f>IF($A66="","",SUMIF($A$5:$A$300,$A66,$C$5:$C$300))</f>
        <v/>
      </c>
      <c r="H66" s="10">
        <f>IF($A66="","",SUMIF($A$5:$A$300,$A66,$D$5:$D$300))</f>
        <v/>
      </c>
      <c r="I66" s="10">
        <f>IF($A66="","",SUMIF($A$5:$A$300,$A66,$E$5:$E$300))</f>
        <v/>
      </c>
      <c r="J66" s="10">
        <f>IF($A66="","",SUMIF($A$5:$A$300,$A66,$F$5:$F$300))</f>
        <v/>
      </c>
      <c r="K66" s="10">
        <f>IF($A66="","",IF(SUMPRODUCT(($A$5:$A$300=$A66)*(ISNUMBER($D$5:$D$300)+ISNUMBER($E$5:$E$300)))=0,"",H66+I66-J66))</f>
        <v/>
      </c>
      <c r="L66" s="11">
        <f>IF(OR($A66="",K66=""),"",K66-G66)</f>
        <v/>
      </c>
      <c r="M66" s="12">
        <f>IF($A66="","",IF(K66="","not counted yet",IF(ABS(L66)&lt;=$B$3,"Balanced",IF(L66&lt;0,"Short","Over"))))</f>
        <v/>
      </c>
    </row>
    <row r="67">
      <c r="A67" s="13" t="n"/>
      <c r="B67" s="14" t="n"/>
      <c r="C67" s="5" t="n"/>
      <c r="D67" s="5" t="n"/>
      <c r="E67" s="5" t="n"/>
      <c r="F67" s="5" t="n"/>
      <c r="G67" s="10">
        <f>IF($A67="","",SUMIF($A$5:$A$300,$A67,$C$5:$C$300))</f>
        <v/>
      </c>
      <c r="H67" s="10">
        <f>IF($A67="","",SUMIF($A$5:$A$300,$A67,$D$5:$D$300))</f>
        <v/>
      </c>
      <c r="I67" s="10">
        <f>IF($A67="","",SUMIF($A$5:$A$300,$A67,$E$5:$E$300))</f>
        <v/>
      </c>
      <c r="J67" s="10">
        <f>IF($A67="","",SUMIF($A$5:$A$300,$A67,$F$5:$F$300))</f>
        <v/>
      </c>
      <c r="K67" s="10">
        <f>IF($A67="","",IF(SUMPRODUCT(($A$5:$A$300=$A67)*(ISNUMBER($D$5:$D$300)+ISNUMBER($E$5:$E$300)))=0,"",H67+I67-J67))</f>
        <v/>
      </c>
      <c r="L67" s="11">
        <f>IF(OR($A67="",K67=""),"",K67-G67)</f>
        <v/>
      </c>
      <c r="M67" s="12">
        <f>IF($A67="","",IF(K67="","not counted yet",IF(ABS(L67)&lt;=$B$3,"Balanced",IF(L67&lt;0,"Short","Over"))))</f>
        <v/>
      </c>
    </row>
    <row r="68">
      <c r="A68" s="13" t="n"/>
      <c r="B68" s="14" t="n"/>
      <c r="C68" s="5" t="n"/>
      <c r="D68" s="5" t="n"/>
      <c r="E68" s="5" t="n"/>
      <c r="F68" s="5" t="n"/>
      <c r="G68" s="10">
        <f>IF($A68="","",SUMIF($A$5:$A$300,$A68,$C$5:$C$300))</f>
        <v/>
      </c>
      <c r="H68" s="10">
        <f>IF($A68="","",SUMIF($A$5:$A$300,$A68,$D$5:$D$300))</f>
        <v/>
      </c>
      <c r="I68" s="10">
        <f>IF($A68="","",SUMIF($A$5:$A$300,$A68,$E$5:$E$300))</f>
        <v/>
      </c>
      <c r="J68" s="10">
        <f>IF($A68="","",SUMIF($A$5:$A$300,$A68,$F$5:$F$300))</f>
        <v/>
      </c>
      <c r="K68" s="10">
        <f>IF($A68="","",IF(SUMPRODUCT(($A$5:$A$300=$A68)*(ISNUMBER($D$5:$D$300)+ISNUMBER($E$5:$E$300)))=0,"",H68+I68-J68))</f>
        <v/>
      </c>
      <c r="L68" s="11">
        <f>IF(OR($A68="",K68=""),"",K68-G68)</f>
        <v/>
      </c>
      <c r="M68" s="12">
        <f>IF($A68="","",IF(K68="","not counted yet",IF(ABS(L68)&lt;=$B$3,"Balanced",IF(L68&lt;0,"Short","Over"))))</f>
        <v/>
      </c>
    </row>
    <row r="69">
      <c r="A69" s="13" t="n"/>
      <c r="B69" s="14" t="n"/>
      <c r="C69" s="5" t="n"/>
      <c r="D69" s="5" t="n"/>
      <c r="E69" s="5" t="n"/>
      <c r="F69" s="5" t="n"/>
      <c r="G69" s="10">
        <f>IF($A69="","",SUMIF($A$5:$A$300,$A69,$C$5:$C$300))</f>
        <v/>
      </c>
      <c r="H69" s="10">
        <f>IF($A69="","",SUMIF($A$5:$A$300,$A69,$D$5:$D$300))</f>
        <v/>
      </c>
      <c r="I69" s="10">
        <f>IF($A69="","",SUMIF($A$5:$A$300,$A69,$E$5:$E$300))</f>
        <v/>
      </c>
      <c r="J69" s="10">
        <f>IF($A69="","",SUMIF($A$5:$A$300,$A69,$F$5:$F$300))</f>
        <v/>
      </c>
      <c r="K69" s="10">
        <f>IF($A69="","",IF(SUMPRODUCT(($A$5:$A$300=$A69)*(ISNUMBER($D$5:$D$300)+ISNUMBER($E$5:$E$300)))=0,"",H69+I69-J69))</f>
        <v/>
      </c>
      <c r="L69" s="11">
        <f>IF(OR($A69="",K69=""),"",K69-G69)</f>
        <v/>
      </c>
      <c r="M69" s="12">
        <f>IF($A69="","",IF(K69="","not counted yet",IF(ABS(L69)&lt;=$B$3,"Balanced",IF(L69&lt;0,"Short","Over"))))</f>
        <v/>
      </c>
    </row>
    <row r="70">
      <c r="A70" s="13" t="n"/>
      <c r="B70" s="14" t="n"/>
      <c r="C70" s="5" t="n"/>
      <c r="D70" s="5" t="n"/>
      <c r="E70" s="5" t="n"/>
      <c r="F70" s="5" t="n"/>
      <c r="G70" s="10">
        <f>IF($A70="","",SUMIF($A$5:$A$300,$A70,$C$5:$C$300))</f>
        <v/>
      </c>
      <c r="H70" s="10">
        <f>IF($A70="","",SUMIF($A$5:$A$300,$A70,$D$5:$D$300))</f>
        <v/>
      </c>
      <c r="I70" s="10">
        <f>IF($A70="","",SUMIF($A$5:$A$300,$A70,$E$5:$E$300))</f>
        <v/>
      </c>
      <c r="J70" s="10">
        <f>IF($A70="","",SUMIF($A$5:$A$300,$A70,$F$5:$F$300))</f>
        <v/>
      </c>
      <c r="K70" s="10">
        <f>IF($A70="","",IF(SUMPRODUCT(($A$5:$A$300=$A70)*(ISNUMBER($D$5:$D$300)+ISNUMBER($E$5:$E$300)))=0,"",H70+I70-J70))</f>
        <v/>
      </c>
      <c r="L70" s="11">
        <f>IF(OR($A70="",K70=""),"",K70-G70)</f>
        <v/>
      </c>
      <c r="M70" s="12">
        <f>IF($A70="","",IF(K70="","not counted yet",IF(ABS(L70)&lt;=$B$3,"Balanced",IF(L70&lt;0,"Short","Over"))))</f>
        <v/>
      </c>
    </row>
    <row r="71">
      <c r="A71" s="13" t="n"/>
      <c r="B71" s="14" t="n"/>
      <c r="C71" s="5" t="n"/>
      <c r="D71" s="5" t="n"/>
      <c r="E71" s="5" t="n"/>
      <c r="F71" s="5" t="n"/>
      <c r="G71" s="10">
        <f>IF($A71="","",SUMIF($A$5:$A$300,$A71,$C$5:$C$300))</f>
        <v/>
      </c>
      <c r="H71" s="10">
        <f>IF($A71="","",SUMIF($A$5:$A$300,$A71,$D$5:$D$300))</f>
        <v/>
      </c>
      <c r="I71" s="10">
        <f>IF($A71="","",SUMIF($A$5:$A$300,$A71,$E$5:$E$300))</f>
        <v/>
      </c>
      <c r="J71" s="10">
        <f>IF($A71="","",SUMIF($A$5:$A$300,$A71,$F$5:$F$300))</f>
        <v/>
      </c>
      <c r="K71" s="10">
        <f>IF($A71="","",IF(SUMPRODUCT(($A$5:$A$300=$A71)*(ISNUMBER($D$5:$D$300)+ISNUMBER($E$5:$E$300)))=0,"",H71+I71-J71))</f>
        <v/>
      </c>
      <c r="L71" s="11">
        <f>IF(OR($A71="",K71=""),"",K71-G71)</f>
        <v/>
      </c>
      <c r="M71" s="12">
        <f>IF($A71="","",IF(K71="","not counted yet",IF(ABS(L71)&lt;=$B$3,"Balanced",IF(L71&lt;0,"Short","Over"))))</f>
        <v/>
      </c>
    </row>
    <row r="72">
      <c r="A72" s="13" t="n"/>
      <c r="B72" s="14" t="n"/>
      <c r="C72" s="5" t="n"/>
      <c r="D72" s="5" t="n"/>
      <c r="E72" s="5" t="n"/>
      <c r="F72" s="5" t="n"/>
      <c r="G72" s="10">
        <f>IF($A72="","",SUMIF($A$5:$A$300,$A72,$C$5:$C$300))</f>
        <v/>
      </c>
      <c r="H72" s="10">
        <f>IF($A72="","",SUMIF($A$5:$A$300,$A72,$D$5:$D$300))</f>
        <v/>
      </c>
      <c r="I72" s="10">
        <f>IF($A72="","",SUMIF($A$5:$A$300,$A72,$E$5:$E$300))</f>
        <v/>
      </c>
      <c r="J72" s="10">
        <f>IF($A72="","",SUMIF($A$5:$A$300,$A72,$F$5:$F$300))</f>
        <v/>
      </c>
      <c r="K72" s="10">
        <f>IF($A72="","",IF(SUMPRODUCT(($A$5:$A$300=$A72)*(ISNUMBER($D$5:$D$300)+ISNUMBER($E$5:$E$300)))=0,"",H72+I72-J72))</f>
        <v/>
      </c>
      <c r="L72" s="11">
        <f>IF(OR($A72="",K72=""),"",K72-G72)</f>
        <v/>
      </c>
      <c r="M72" s="12">
        <f>IF($A72="","",IF(K72="","not counted yet",IF(ABS(L72)&lt;=$B$3,"Balanced",IF(L72&lt;0,"Short","Over"))))</f>
        <v/>
      </c>
    </row>
    <row r="73">
      <c r="A73" s="13" t="n"/>
      <c r="B73" s="14" t="n"/>
      <c r="C73" s="5" t="n"/>
      <c r="D73" s="5" t="n"/>
      <c r="E73" s="5" t="n"/>
      <c r="F73" s="5" t="n"/>
      <c r="G73" s="10">
        <f>IF($A73="","",SUMIF($A$5:$A$300,$A73,$C$5:$C$300))</f>
        <v/>
      </c>
      <c r="H73" s="10">
        <f>IF($A73="","",SUMIF($A$5:$A$300,$A73,$D$5:$D$300))</f>
        <v/>
      </c>
      <c r="I73" s="10">
        <f>IF($A73="","",SUMIF($A$5:$A$300,$A73,$E$5:$E$300))</f>
        <v/>
      </c>
      <c r="J73" s="10">
        <f>IF($A73="","",SUMIF($A$5:$A$300,$A73,$F$5:$F$300))</f>
        <v/>
      </c>
      <c r="K73" s="10">
        <f>IF($A73="","",IF(SUMPRODUCT(($A$5:$A$300=$A73)*(ISNUMBER($D$5:$D$300)+ISNUMBER($E$5:$E$300)))=0,"",H73+I73-J73))</f>
        <v/>
      </c>
      <c r="L73" s="11">
        <f>IF(OR($A73="",K73=""),"",K73-G73)</f>
        <v/>
      </c>
      <c r="M73" s="12">
        <f>IF($A73="","",IF(K73="","not counted yet",IF(ABS(L73)&lt;=$B$3,"Balanced",IF(L73&lt;0,"Short","Over"))))</f>
        <v/>
      </c>
    </row>
    <row r="74">
      <c r="A74" s="13" t="n"/>
      <c r="B74" s="14" t="n"/>
      <c r="C74" s="5" t="n"/>
      <c r="D74" s="5" t="n"/>
      <c r="E74" s="5" t="n"/>
      <c r="F74" s="5" t="n"/>
      <c r="G74" s="10">
        <f>IF($A74="","",SUMIF($A$5:$A$300,$A74,$C$5:$C$300))</f>
        <v/>
      </c>
      <c r="H74" s="10">
        <f>IF($A74="","",SUMIF($A$5:$A$300,$A74,$D$5:$D$300))</f>
        <v/>
      </c>
      <c r="I74" s="10">
        <f>IF($A74="","",SUMIF($A$5:$A$300,$A74,$E$5:$E$300))</f>
        <v/>
      </c>
      <c r="J74" s="10">
        <f>IF($A74="","",SUMIF($A$5:$A$300,$A74,$F$5:$F$300))</f>
        <v/>
      </c>
      <c r="K74" s="10">
        <f>IF($A74="","",IF(SUMPRODUCT(($A$5:$A$300=$A74)*(ISNUMBER($D$5:$D$300)+ISNUMBER($E$5:$E$300)))=0,"",H74+I74-J74))</f>
        <v/>
      </c>
      <c r="L74" s="11">
        <f>IF(OR($A74="",K74=""),"",K74-G74)</f>
        <v/>
      </c>
      <c r="M74" s="12">
        <f>IF($A74="","",IF(K74="","not counted yet",IF(ABS(L74)&lt;=$B$3,"Balanced",IF(L74&lt;0,"Short","Over"))))</f>
        <v/>
      </c>
    </row>
    <row r="75">
      <c r="A75" s="13" t="n"/>
      <c r="B75" s="14" t="n"/>
      <c r="C75" s="5" t="n"/>
      <c r="D75" s="5" t="n"/>
      <c r="E75" s="5" t="n"/>
      <c r="F75" s="5" t="n"/>
      <c r="G75" s="10">
        <f>IF($A75="","",SUMIF($A$5:$A$300,$A75,$C$5:$C$300))</f>
        <v/>
      </c>
      <c r="H75" s="10">
        <f>IF($A75="","",SUMIF($A$5:$A$300,$A75,$D$5:$D$300))</f>
        <v/>
      </c>
      <c r="I75" s="10">
        <f>IF($A75="","",SUMIF($A$5:$A$300,$A75,$E$5:$E$300))</f>
        <v/>
      </c>
      <c r="J75" s="10">
        <f>IF($A75="","",SUMIF($A$5:$A$300,$A75,$F$5:$F$300))</f>
        <v/>
      </c>
      <c r="K75" s="10">
        <f>IF($A75="","",IF(SUMPRODUCT(($A$5:$A$300=$A75)*(ISNUMBER($D$5:$D$300)+ISNUMBER($E$5:$E$300)))=0,"",H75+I75-J75))</f>
        <v/>
      </c>
      <c r="L75" s="11">
        <f>IF(OR($A75="",K75=""),"",K75-G75)</f>
        <v/>
      </c>
      <c r="M75" s="12">
        <f>IF($A75="","",IF(K75="","not counted yet",IF(ABS(L75)&lt;=$B$3,"Balanced",IF(L75&lt;0,"Short","Over"))))</f>
        <v/>
      </c>
    </row>
    <row r="76">
      <c r="A76" s="13" t="n"/>
      <c r="B76" s="14" t="n"/>
      <c r="C76" s="5" t="n"/>
      <c r="D76" s="5" t="n"/>
      <c r="E76" s="5" t="n"/>
      <c r="F76" s="5" t="n"/>
      <c r="G76" s="10">
        <f>IF($A76="","",SUMIF($A$5:$A$300,$A76,$C$5:$C$300))</f>
        <v/>
      </c>
      <c r="H76" s="10">
        <f>IF($A76="","",SUMIF($A$5:$A$300,$A76,$D$5:$D$300))</f>
        <v/>
      </c>
      <c r="I76" s="10">
        <f>IF($A76="","",SUMIF($A$5:$A$300,$A76,$E$5:$E$300))</f>
        <v/>
      </c>
      <c r="J76" s="10">
        <f>IF($A76="","",SUMIF($A$5:$A$300,$A76,$F$5:$F$300))</f>
        <v/>
      </c>
      <c r="K76" s="10">
        <f>IF($A76="","",IF(SUMPRODUCT(($A$5:$A$300=$A76)*(ISNUMBER($D$5:$D$300)+ISNUMBER($E$5:$E$300)))=0,"",H76+I76-J76))</f>
        <v/>
      </c>
      <c r="L76" s="11">
        <f>IF(OR($A76="",K76=""),"",K76-G76)</f>
        <v/>
      </c>
      <c r="M76" s="12">
        <f>IF($A76="","",IF(K76="","not counted yet",IF(ABS(L76)&lt;=$B$3,"Balanced",IF(L76&lt;0,"Short","Over"))))</f>
        <v/>
      </c>
    </row>
    <row r="77">
      <c r="A77" s="13" t="n"/>
      <c r="B77" s="14" t="n"/>
      <c r="C77" s="5" t="n"/>
      <c r="D77" s="5" t="n"/>
      <c r="E77" s="5" t="n"/>
      <c r="F77" s="5" t="n"/>
      <c r="G77" s="10">
        <f>IF($A77="","",SUMIF($A$5:$A$300,$A77,$C$5:$C$300))</f>
        <v/>
      </c>
      <c r="H77" s="10">
        <f>IF($A77="","",SUMIF($A$5:$A$300,$A77,$D$5:$D$300))</f>
        <v/>
      </c>
      <c r="I77" s="10">
        <f>IF($A77="","",SUMIF($A$5:$A$300,$A77,$E$5:$E$300))</f>
        <v/>
      </c>
      <c r="J77" s="10">
        <f>IF($A77="","",SUMIF($A$5:$A$300,$A77,$F$5:$F$300))</f>
        <v/>
      </c>
      <c r="K77" s="10">
        <f>IF($A77="","",IF(SUMPRODUCT(($A$5:$A$300=$A77)*(ISNUMBER($D$5:$D$300)+ISNUMBER($E$5:$E$300)))=0,"",H77+I77-J77))</f>
        <v/>
      </c>
      <c r="L77" s="11">
        <f>IF(OR($A77="",K77=""),"",K77-G77)</f>
        <v/>
      </c>
      <c r="M77" s="12">
        <f>IF($A77="","",IF(K77="","not counted yet",IF(ABS(L77)&lt;=$B$3,"Balanced",IF(L77&lt;0,"Short","Over"))))</f>
        <v/>
      </c>
    </row>
    <row r="78">
      <c r="A78" s="13" t="n"/>
      <c r="B78" s="14" t="n"/>
      <c r="C78" s="5" t="n"/>
      <c r="D78" s="5" t="n"/>
      <c r="E78" s="5" t="n"/>
      <c r="F78" s="5" t="n"/>
      <c r="G78" s="10">
        <f>IF($A78="","",SUMIF($A$5:$A$300,$A78,$C$5:$C$300))</f>
        <v/>
      </c>
      <c r="H78" s="10">
        <f>IF($A78="","",SUMIF($A$5:$A$300,$A78,$D$5:$D$300))</f>
        <v/>
      </c>
      <c r="I78" s="10">
        <f>IF($A78="","",SUMIF($A$5:$A$300,$A78,$E$5:$E$300))</f>
        <v/>
      </c>
      <c r="J78" s="10">
        <f>IF($A78="","",SUMIF($A$5:$A$300,$A78,$F$5:$F$300))</f>
        <v/>
      </c>
      <c r="K78" s="10">
        <f>IF($A78="","",IF(SUMPRODUCT(($A$5:$A$300=$A78)*(ISNUMBER($D$5:$D$300)+ISNUMBER($E$5:$E$300)))=0,"",H78+I78-J78))</f>
        <v/>
      </c>
      <c r="L78" s="11">
        <f>IF(OR($A78="",K78=""),"",K78-G78)</f>
        <v/>
      </c>
      <c r="M78" s="12">
        <f>IF($A78="","",IF(K78="","not counted yet",IF(ABS(L78)&lt;=$B$3,"Balanced",IF(L78&lt;0,"Short","Over"))))</f>
        <v/>
      </c>
    </row>
    <row r="79">
      <c r="A79" s="13" t="n"/>
      <c r="B79" s="14" t="n"/>
      <c r="C79" s="5" t="n"/>
      <c r="D79" s="5" t="n"/>
      <c r="E79" s="5" t="n"/>
      <c r="F79" s="5" t="n"/>
      <c r="G79" s="10">
        <f>IF($A79="","",SUMIF($A$5:$A$300,$A79,$C$5:$C$300))</f>
        <v/>
      </c>
      <c r="H79" s="10">
        <f>IF($A79="","",SUMIF($A$5:$A$300,$A79,$D$5:$D$300))</f>
        <v/>
      </c>
      <c r="I79" s="10">
        <f>IF($A79="","",SUMIF($A$5:$A$300,$A79,$E$5:$E$300))</f>
        <v/>
      </c>
      <c r="J79" s="10">
        <f>IF($A79="","",SUMIF($A$5:$A$300,$A79,$F$5:$F$300))</f>
        <v/>
      </c>
      <c r="K79" s="10">
        <f>IF($A79="","",IF(SUMPRODUCT(($A$5:$A$300=$A79)*(ISNUMBER($D$5:$D$300)+ISNUMBER($E$5:$E$300)))=0,"",H79+I79-J79))</f>
        <v/>
      </c>
      <c r="L79" s="11">
        <f>IF(OR($A79="",K79=""),"",K79-G79)</f>
        <v/>
      </c>
      <c r="M79" s="12">
        <f>IF($A79="","",IF(K79="","not counted yet",IF(ABS(L79)&lt;=$B$3,"Balanced",IF(L79&lt;0,"Short","Over"))))</f>
        <v/>
      </c>
    </row>
    <row r="80">
      <c r="A80" s="13" t="n"/>
      <c r="B80" s="14" t="n"/>
      <c r="C80" s="5" t="n"/>
      <c r="D80" s="5" t="n"/>
      <c r="E80" s="5" t="n"/>
      <c r="F80" s="5" t="n"/>
      <c r="G80" s="10">
        <f>IF($A80="","",SUMIF($A$5:$A$300,$A80,$C$5:$C$300))</f>
        <v/>
      </c>
      <c r="H80" s="10">
        <f>IF($A80="","",SUMIF($A$5:$A$300,$A80,$D$5:$D$300))</f>
        <v/>
      </c>
      <c r="I80" s="10">
        <f>IF($A80="","",SUMIF($A$5:$A$300,$A80,$E$5:$E$300))</f>
        <v/>
      </c>
      <c r="J80" s="10">
        <f>IF($A80="","",SUMIF($A$5:$A$300,$A80,$F$5:$F$300))</f>
        <v/>
      </c>
      <c r="K80" s="10">
        <f>IF($A80="","",IF(SUMPRODUCT(($A$5:$A$300=$A80)*(ISNUMBER($D$5:$D$300)+ISNUMBER($E$5:$E$300)))=0,"",H80+I80-J80))</f>
        <v/>
      </c>
      <c r="L80" s="11">
        <f>IF(OR($A80="",K80=""),"",K80-G80)</f>
        <v/>
      </c>
      <c r="M80" s="12">
        <f>IF($A80="","",IF(K80="","not counted yet",IF(ABS(L80)&lt;=$B$3,"Balanced",IF(L80&lt;0,"Short","Over"))))</f>
        <v/>
      </c>
    </row>
    <row r="81">
      <c r="A81" s="13" t="n"/>
      <c r="B81" s="14" t="n"/>
      <c r="C81" s="5" t="n"/>
      <c r="D81" s="5" t="n"/>
      <c r="E81" s="5" t="n"/>
      <c r="F81" s="5" t="n"/>
      <c r="G81" s="10">
        <f>IF($A81="","",SUMIF($A$5:$A$300,$A81,$C$5:$C$300))</f>
        <v/>
      </c>
      <c r="H81" s="10">
        <f>IF($A81="","",SUMIF($A$5:$A$300,$A81,$D$5:$D$300))</f>
        <v/>
      </c>
      <c r="I81" s="10">
        <f>IF($A81="","",SUMIF($A$5:$A$300,$A81,$E$5:$E$300))</f>
        <v/>
      </c>
      <c r="J81" s="10">
        <f>IF($A81="","",SUMIF($A$5:$A$300,$A81,$F$5:$F$300))</f>
        <v/>
      </c>
      <c r="K81" s="10">
        <f>IF($A81="","",IF(SUMPRODUCT(($A$5:$A$300=$A81)*(ISNUMBER($D$5:$D$300)+ISNUMBER($E$5:$E$300)))=0,"",H81+I81-J81))</f>
        <v/>
      </c>
      <c r="L81" s="11">
        <f>IF(OR($A81="",K81=""),"",K81-G81)</f>
        <v/>
      </c>
      <c r="M81" s="12">
        <f>IF($A81="","",IF(K81="","not counted yet",IF(ABS(L81)&lt;=$B$3,"Balanced",IF(L81&lt;0,"Short","Over"))))</f>
        <v/>
      </c>
    </row>
    <row r="82">
      <c r="A82" s="13" t="n"/>
      <c r="B82" s="14" t="n"/>
      <c r="C82" s="5" t="n"/>
      <c r="D82" s="5" t="n"/>
      <c r="E82" s="5" t="n"/>
      <c r="F82" s="5" t="n"/>
      <c r="G82" s="10">
        <f>IF($A82="","",SUMIF($A$5:$A$300,$A82,$C$5:$C$300))</f>
        <v/>
      </c>
      <c r="H82" s="10">
        <f>IF($A82="","",SUMIF($A$5:$A$300,$A82,$D$5:$D$300))</f>
        <v/>
      </c>
      <c r="I82" s="10">
        <f>IF($A82="","",SUMIF($A$5:$A$300,$A82,$E$5:$E$300))</f>
        <v/>
      </c>
      <c r="J82" s="10">
        <f>IF($A82="","",SUMIF($A$5:$A$300,$A82,$F$5:$F$300))</f>
        <v/>
      </c>
      <c r="K82" s="10">
        <f>IF($A82="","",IF(SUMPRODUCT(($A$5:$A$300=$A82)*(ISNUMBER($D$5:$D$300)+ISNUMBER($E$5:$E$300)))=0,"",H82+I82-J82))</f>
        <v/>
      </c>
      <c r="L82" s="11">
        <f>IF(OR($A82="",K82=""),"",K82-G82)</f>
        <v/>
      </c>
      <c r="M82" s="12">
        <f>IF($A82="","",IF(K82="","not counted yet",IF(ABS(L82)&lt;=$B$3,"Balanced",IF(L82&lt;0,"Short","Over"))))</f>
        <v/>
      </c>
    </row>
    <row r="83">
      <c r="A83" s="13" t="n"/>
      <c r="B83" s="14" t="n"/>
      <c r="C83" s="5" t="n"/>
      <c r="D83" s="5" t="n"/>
      <c r="E83" s="5" t="n"/>
      <c r="F83" s="5" t="n"/>
      <c r="G83" s="10">
        <f>IF($A83="","",SUMIF($A$5:$A$300,$A83,$C$5:$C$300))</f>
        <v/>
      </c>
      <c r="H83" s="10">
        <f>IF($A83="","",SUMIF($A$5:$A$300,$A83,$D$5:$D$300))</f>
        <v/>
      </c>
      <c r="I83" s="10">
        <f>IF($A83="","",SUMIF($A$5:$A$300,$A83,$E$5:$E$300))</f>
        <v/>
      </c>
      <c r="J83" s="10">
        <f>IF($A83="","",SUMIF($A$5:$A$300,$A83,$F$5:$F$300))</f>
        <v/>
      </c>
      <c r="K83" s="10">
        <f>IF($A83="","",IF(SUMPRODUCT(($A$5:$A$300=$A83)*(ISNUMBER($D$5:$D$300)+ISNUMBER($E$5:$E$300)))=0,"",H83+I83-J83))</f>
        <v/>
      </c>
      <c r="L83" s="11">
        <f>IF(OR($A83="",K83=""),"",K83-G83)</f>
        <v/>
      </c>
      <c r="M83" s="12">
        <f>IF($A83="","",IF(K83="","not counted yet",IF(ABS(L83)&lt;=$B$3,"Balanced",IF(L83&lt;0,"Short","Over"))))</f>
        <v/>
      </c>
    </row>
    <row r="84">
      <c r="A84" s="13" t="n"/>
      <c r="B84" s="14" t="n"/>
      <c r="C84" s="5" t="n"/>
      <c r="D84" s="5" t="n"/>
      <c r="E84" s="5" t="n"/>
      <c r="F84" s="5" t="n"/>
      <c r="G84" s="10">
        <f>IF($A84="","",SUMIF($A$5:$A$300,$A84,$C$5:$C$300))</f>
        <v/>
      </c>
      <c r="H84" s="10">
        <f>IF($A84="","",SUMIF($A$5:$A$300,$A84,$D$5:$D$300))</f>
        <v/>
      </c>
      <c r="I84" s="10">
        <f>IF($A84="","",SUMIF($A$5:$A$300,$A84,$E$5:$E$300))</f>
        <v/>
      </c>
      <c r="J84" s="10">
        <f>IF($A84="","",SUMIF($A$5:$A$300,$A84,$F$5:$F$300))</f>
        <v/>
      </c>
      <c r="K84" s="10">
        <f>IF($A84="","",IF(SUMPRODUCT(($A$5:$A$300=$A84)*(ISNUMBER($D$5:$D$300)+ISNUMBER($E$5:$E$300)))=0,"",H84+I84-J84))</f>
        <v/>
      </c>
      <c r="L84" s="11">
        <f>IF(OR($A84="",K84=""),"",K84-G84)</f>
        <v/>
      </c>
      <c r="M84" s="12">
        <f>IF($A84="","",IF(K84="","not counted yet",IF(ABS(L84)&lt;=$B$3,"Balanced",IF(L84&lt;0,"Short","Over"))))</f>
        <v/>
      </c>
    </row>
    <row r="85">
      <c r="A85" s="13" t="n"/>
      <c r="B85" s="14" t="n"/>
      <c r="C85" s="5" t="n"/>
      <c r="D85" s="5" t="n"/>
      <c r="E85" s="5" t="n"/>
      <c r="F85" s="5" t="n"/>
      <c r="G85" s="10">
        <f>IF($A85="","",SUMIF($A$5:$A$300,$A85,$C$5:$C$300))</f>
        <v/>
      </c>
      <c r="H85" s="10">
        <f>IF($A85="","",SUMIF($A$5:$A$300,$A85,$D$5:$D$300))</f>
        <v/>
      </c>
      <c r="I85" s="10">
        <f>IF($A85="","",SUMIF($A$5:$A$300,$A85,$E$5:$E$300))</f>
        <v/>
      </c>
      <c r="J85" s="10">
        <f>IF($A85="","",SUMIF($A$5:$A$300,$A85,$F$5:$F$300))</f>
        <v/>
      </c>
      <c r="K85" s="10">
        <f>IF($A85="","",IF(SUMPRODUCT(($A$5:$A$300=$A85)*(ISNUMBER($D$5:$D$300)+ISNUMBER($E$5:$E$300)))=0,"",H85+I85-J85))</f>
        <v/>
      </c>
      <c r="L85" s="11">
        <f>IF(OR($A85="",K85=""),"",K85-G85)</f>
        <v/>
      </c>
      <c r="M85" s="12">
        <f>IF($A85="","",IF(K85="","not counted yet",IF(ABS(L85)&lt;=$B$3,"Balanced",IF(L85&lt;0,"Short","Over"))))</f>
        <v/>
      </c>
    </row>
    <row r="86">
      <c r="A86" s="13" t="n"/>
      <c r="B86" s="14" t="n"/>
      <c r="C86" s="5" t="n"/>
      <c r="D86" s="5" t="n"/>
      <c r="E86" s="5" t="n"/>
      <c r="F86" s="5" t="n"/>
      <c r="G86" s="10">
        <f>IF($A86="","",SUMIF($A$5:$A$300,$A86,$C$5:$C$300))</f>
        <v/>
      </c>
      <c r="H86" s="10">
        <f>IF($A86="","",SUMIF($A$5:$A$300,$A86,$D$5:$D$300))</f>
        <v/>
      </c>
      <c r="I86" s="10">
        <f>IF($A86="","",SUMIF($A$5:$A$300,$A86,$E$5:$E$300))</f>
        <v/>
      </c>
      <c r="J86" s="10">
        <f>IF($A86="","",SUMIF($A$5:$A$300,$A86,$F$5:$F$300))</f>
        <v/>
      </c>
      <c r="K86" s="10">
        <f>IF($A86="","",IF(SUMPRODUCT(($A$5:$A$300=$A86)*(ISNUMBER($D$5:$D$300)+ISNUMBER($E$5:$E$300)))=0,"",H86+I86-J86))</f>
        <v/>
      </c>
      <c r="L86" s="11">
        <f>IF(OR($A86="",K86=""),"",K86-G86)</f>
        <v/>
      </c>
      <c r="M86" s="12">
        <f>IF($A86="","",IF(K86="","not counted yet",IF(ABS(L86)&lt;=$B$3,"Balanced",IF(L86&lt;0,"Short","Over"))))</f>
        <v/>
      </c>
    </row>
    <row r="87">
      <c r="A87" s="13" t="n"/>
      <c r="B87" s="14" t="n"/>
      <c r="C87" s="5" t="n"/>
      <c r="D87" s="5" t="n"/>
      <c r="E87" s="5" t="n"/>
      <c r="F87" s="5" t="n"/>
      <c r="G87" s="10">
        <f>IF($A87="","",SUMIF($A$5:$A$300,$A87,$C$5:$C$300))</f>
        <v/>
      </c>
      <c r="H87" s="10">
        <f>IF($A87="","",SUMIF($A$5:$A$300,$A87,$D$5:$D$300))</f>
        <v/>
      </c>
      <c r="I87" s="10">
        <f>IF($A87="","",SUMIF($A$5:$A$300,$A87,$E$5:$E$300))</f>
        <v/>
      </c>
      <c r="J87" s="10">
        <f>IF($A87="","",SUMIF($A$5:$A$300,$A87,$F$5:$F$300))</f>
        <v/>
      </c>
      <c r="K87" s="10">
        <f>IF($A87="","",IF(SUMPRODUCT(($A$5:$A$300=$A87)*(ISNUMBER($D$5:$D$300)+ISNUMBER($E$5:$E$300)))=0,"",H87+I87-J87))</f>
        <v/>
      </c>
      <c r="L87" s="11">
        <f>IF(OR($A87="",K87=""),"",K87-G87)</f>
        <v/>
      </c>
      <c r="M87" s="12">
        <f>IF($A87="","",IF(K87="","not counted yet",IF(ABS(L87)&lt;=$B$3,"Balanced",IF(L87&lt;0,"Short","Over"))))</f>
        <v/>
      </c>
    </row>
    <row r="88">
      <c r="A88" s="13" t="n"/>
      <c r="B88" s="14" t="n"/>
      <c r="C88" s="5" t="n"/>
      <c r="D88" s="5" t="n"/>
      <c r="E88" s="5" t="n"/>
      <c r="F88" s="5" t="n"/>
      <c r="G88" s="10">
        <f>IF($A88="","",SUMIF($A$5:$A$300,$A88,$C$5:$C$300))</f>
        <v/>
      </c>
      <c r="H88" s="10">
        <f>IF($A88="","",SUMIF($A$5:$A$300,$A88,$D$5:$D$300))</f>
        <v/>
      </c>
      <c r="I88" s="10">
        <f>IF($A88="","",SUMIF($A$5:$A$300,$A88,$E$5:$E$300))</f>
        <v/>
      </c>
      <c r="J88" s="10">
        <f>IF($A88="","",SUMIF($A$5:$A$300,$A88,$F$5:$F$300))</f>
        <v/>
      </c>
      <c r="K88" s="10">
        <f>IF($A88="","",IF(SUMPRODUCT(($A$5:$A$300=$A88)*(ISNUMBER($D$5:$D$300)+ISNUMBER($E$5:$E$300)))=0,"",H88+I88-J88))</f>
        <v/>
      </c>
      <c r="L88" s="11">
        <f>IF(OR($A88="",K88=""),"",K88-G88)</f>
        <v/>
      </c>
      <c r="M88" s="12">
        <f>IF($A88="","",IF(K88="","not counted yet",IF(ABS(L88)&lt;=$B$3,"Balanced",IF(L88&lt;0,"Short","Over"))))</f>
        <v/>
      </c>
    </row>
    <row r="89">
      <c r="A89" s="13" t="n"/>
      <c r="B89" s="14" t="n"/>
      <c r="C89" s="5" t="n"/>
      <c r="D89" s="5" t="n"/>
      <c r="E89" s="5" t="n"/>
      <c r="F89" s="5" t="n"/>
      <c r="G89" s="10">
        <f>IF($A89="","",SUMIF($A$5:$A$300,$A89,$C$5:$C$300))</f>
        <v/>
      </c>
      <c r="H89" s="10">
        <f>IF($A89="","",SUMIF($A$5:$A$300,$A89,$D$5:$D$300))</f>
        <v/>
      </c>
      <c r="I89" s="10">
        <f>IF($A89="","",SUMIF($A$5:$A$300,$A89,$E$5:$E$300))</f>
        <v/>
      </c>
      <c r="J89" s="10">
        <f>IF($A89="","",SUMIF($A$5:$A$300,$A89,$F$5:$F$300))</f>
        <v/>
      </c>
      <c r="K89" s="10">
        <f>IF($A89="","",IF(SUMPRODUCT(($A$5:$A$300=$A89)*(ISNUMBER($D$5:$D$300)+ISNUMBER($E$5:$E$300)))=0,"",H89+I89-J89))</f>
        <v/>
      </c>
      <c r="L89" s="11">
        <f>IF(OR($A89="",K89=""),"",K89-G89)</f>
        <v/>
      </c>
      <c r="M89" s="12">
        <f>IF($A89="","",IF(K89="","not counted yet",IF(ABS(L89)&lt;=$B$3,"Balanced",IF(L89&lt;0,"Short","Over"))))</f>
        <v/>
      </c>
    </row>
    <row r="90">
      <c r="A90" s="13" t="n"/>
      <c r="B90" s="14" t="n"/>
      <c r="C90" s="5" t="n"/>
      <c r="D90" s="5" t="n"/>
      <c r="E90" s="5" t="n"/>
      <c r="F90" s="5" t="n"/>
      <c r="G90" s="10">
        <f>IF($A90="","",SUMIF($A$5:$A$300,$A90,$C$5:$C$300))</f>
        <v/>
      </c>
      <c r="H90" s="10">
        <f>IF($A90="","",SUMIF($A$5:$A$300,$A90,$D$5:$D$300))</f>
        <v/>
      </c>
      <c r="I90" s="10">
        <f>IF($A90="","",SUMIF($A$5:$A$300,$A90,$E$5:$E$300))</f>
        <v/>
      </c>
      <c r="J90" s="10">
        <f>IF($A90="","",SUMIF($A$5:$A$300,$A90,$F$5:$F$300))</f>
        <v/>
      </c>
      <c r="K90" s="10">
        <f>IF($A90="","",IF(SUMPRODUCT(($A$5:$A$300=$A90)*(ISNUMBER($D$5:$D$300)+ISNUMBER($E$5:$E$300)))=0,"",H90+I90-J90))</f>
        <v/>
      </c>
      <c r="L90" s="11">
        <f>IF(OR($A90="",K90=""),"",K90-G90)</f>
        <v/>
      </c>
      <c r="M90" s="12">
        <f>IF($A90="","",IF(K90="","not counted yet",IF(ABS(L90)&lt;=$B$3,"Balanced",IF(L90&lt;0,"Short","Over"))))</f>
        <v/>
      </c>
    </row>
    <row r="91">
      <c r="A91" s="13" t="n"/>
      <c r="B91" s="14" t="n"/>
      <c r="C91" s="5" t="n"/>
      <c r="D91" s="5" t="n"/>
      <c r="E91" s="5" t="n"/>
      <c r="F91" s="5" t="n"/>
      <c r="G91" s="10">
        <f>IF($A91="","",SUMIF($A$5:$A$300,$A91,$C$5:$C$300))</f>
        <v/>
      </c>
      <c r="H91" s="10">
        <f>IF($A91="","",SUMIF($A$5:$A$300,$A91,$D$5:$D$300))</f>
        <v/>
      </c>
      <c r="I91" s="10">
        <f>IF($A91="","",SUMIF($A$5:$A$300,$A91,$E$5:$E$300))</f>
        <v/>
      </c>
      <c r="J91" s="10">
        <f>IF($A91="","",SUMIF($A$5:$A$300,$A91,$F$5:$F$300))</f>
        <v/>
      </c>
      <c r="K91" s="10">
        <f>IF($A91="","",IF(SUMPRODUCT(($A$5:$A$300=$A91)*(ISNUMBER($D$5:$D$300)+ISNUMBER($E$5:$E$300)))=0,"",H91+I91-J91))</f>
        <v/>
      </c>
      <c r="L91" s="11">
        <f>IF(OR($A91="",K91=""),"",K91-G91)</f>
        <v/>
      </c>
      <c r="M91" s="12">
        <f>IF($A91="","",IF(K91="","not counted yet",IF(ABS(L91)&lt;=$B$3,"Balanced",IF(L91&lt;0,"Short","Over"))))</f>
        <v/>
      </c>
    </row>
    <row r="92">
      <c r="A92" s="13" t="n"/>
      <c r="B92" s="14" t="n"/>
      <c r="C92" s="5" t="n"/>
      <c r="D92" s="5" t="n"/>
      <c r="E92" s="5" t="n"/>
      <c r="F92" s="5" t="n"/>
      <c r="G92" s="10">
        <f>IF($A92="","",SUMIF($A$5:$A$300,$A92,$C$5:$C$300))</f>
        <v/>
      </c>
      <c r="H92" s="10">
        <f>IF($A92="","",SUMIF($A$5:$A$300,$A92,$D$5:$D$300))</f>
        <v/>
      </c>
      <c r="I92" s="10">
        <f>IF($A92="","",SUMIF($A$5:$A$300,$A92,$E$5:$E$300))</f>
        <v/>
      </c>
      <c r="J92" s="10">
        <f>IF($A92="","",SUMIF($A$5:$A$300,$A92,$F$5:$F$300))</f>
        <v/>
      </c>
      <c r="K92" s="10">
        <f>IF($A92="","",IF(SUMPRODUCT(($A$5:$A$300=$A92)*(ISNUMBER($D$5:$D$300)+ISNUMBER($E$5:$E$300)))=0,"",H92+I92-J92))</f>
        <v/>
      </c>
      <c r="L92" s="11">
        <f>IF(OR($A92="",K92=""),"",K92-G92)</f>
        <v/>
      </c>
      <c r="M92" s="12">
        <f>IF($A92="","",IF(K92="","not counted yet",IF(ABS(L92)&lt;=$B$3,"Balanced",IF(L92&lt;0,"Short","Over"))))</f>
        <v/>
      </c>
    </row>
    <row r="93">
      <c r="A93" s="13" t="n"/>
      <c r="B93" s="14" t="n"/>
      <c r="C93" s="5" t="n"/>
      <c r="D93" s="5" t="n"/>
      <c r="E93" s="5" t="n"/>
      <c r="F93" s="5" t="n"/>
      <c r="G93" s="10">
        <f>IF($A93="","",SUMIF($A$5:$A$300,$A93,$C$5:$C$300))</f>
        <v/>
      </c>
      <c r="H93" s="10">
        <f>IF($A93="","",SUMIF($A$5:$A$300,$A93,$D$5:$D$300))</f>
        <v/>
      </c>
      <c r="I93" s="10">
        <f>IF($A93="","",SUMIF($A$5:$A$300,$A93,$E$5:$E$300))</f>
        <v/>
      </c>
      <c r="J93" s="10">
        <f>IF($A93="","",SUMIF($A$5:$A$300,$A93,$F$5:$F$300))</f>
        <v/>
      </c>
      <c r="K93" s="10">
        <f>IF($A93="","",IF(SUMPRODUCT(($A$5:$A$300=$A93)*(ISNUMBER($D$5:$D$300)+ISNUMBER($E$5:$E$300)))=0,"",H93+I93-J93))</f>
        <v/>
      </c>
      <c r="L93" s="11">
        <f>IF(OR($A93="",K93=""),"",K93-G93)</f>
        <v/>
      </c>
      <c r="M93" s="12">
        <f>IF($A93="","",IF(K93="","not counted yet",IF(ABS(L93)&lt;=$B$3,"Balanced",IF(L93&lt;0,"Short","Over"))))</f>
        <v/>
      </c>
    </row>
    <row r="94">
      <c r="A94" s="13" t="n"/>
      <c r="B94" s="14" t="n"/>
      <c r="C94" s="5" t="n"/>
      <c r="D94" s="5" t="n"/>
      <c r="E94" s="5" t="n"/>
      <c r="F94" s="5" t="n"/>
      <c r="G94" s="10">
        <f>IF($A94="","",SUMIF($A$5:$A$300,$A94,$C$5:$C$300))</f>
        <v/>
      </c>
      <c r="H94" s="10">
        <f>IF($A94="","",SUMIF($A$5:$A$300,$A94,$D$5:$D$300))</f>
        <v/>
      </c>
      <c r="I94" s="10">
        <f>IF($A94="","",SUMIF($A$5:$A$300,$A94,$E$5:$E$300))</f>
        <v/>
      </c>
      <c r="J94" s="10">
        <f>IF($A94="","",SUMIF($A$5:$A$300,$A94,$F$5:$F$300))</f>
        <v/>
      </c>
      <c r="K94" s="10">
        <f>IF($A94="","",IF(SUMPRODUCT(($A$5:$A$300=$A94)*(ISNUMBER($D$5:$D$300)+ISNUMBER($E$5:$E$300)))=0,"",H94+I94-J94))</f>
        <v/>
      </c>
      <c r="L94" s="11">
        <f>IF(OR($A94="",K94=""),"",K94-G94)</f>
        <v/>
      </c>
      <c r="M94" s="12">
        <f>IF($A94="","",IF(K94="","not counted yet",IF(ABS(L94)&lt;=$B$3,"Balanced",IF(L94&lt;0,"Short","Over"))))</f>
        <v/>
      </c>
    </row>
    <row r="95">
      <c r="A95" s="13" t="n"/>
      <c r="B95" s="14" t="n"/>
      <c r="C95" s="5" t="n"/>
      <c r="D95" s="5" t="n"/>
      <c r="E95" s="5" t="n"/>
      <c r="F95" s="5" t="n"/>
      <c r="G95" s="10">
        <f>IF($A95="","",SUMIF($A$5:$A$300,$A95,$C$5:$C$300))</f>
        <v/>
      </c>
      <c r="H95" s="10">
        <f>IF($A95="","",SUMIF($A$5:$A$300,$A95,$D$5:$D$300))</f>
        <v/>
      </c>
      <c r="I95" s="10">
        <f>IF($A95="","",SUMIF($A$5:$A$300,$A95,$E$5:$E$300))</f>
        <v/>
      </c>
      <c r="J95" s="10">
        <f>IF($A95="","",SUMIF($A$5:$A$300,$A95,$F$5:$F$300))</f>
        <v/>
      </c>
      <c r="K95" s="10">
        <f>IF($A95="","",IF(SUMPRODUCT(($A$5:$A$300=$A95)*(ISNUMBER($D$5:$D$300)+ISNUMBER($E$5:$E$300)))=0,"",H95+I95-J95))</f>
        <v/>
      </c>
      <c r="L95" s="11">
        <f>IF(OR($A95="",K95=""),"",K95-G95)</f>
        <v/>
      </c>
      <c r="M95" s="12">
        <f>IF($A95="","",IF(K95="","not counted yet",IF(ABS(L95)&lt;=$B$3,"Balanced",IF(L95&lt;0,"Short","Over"))))</f>
        <v/>
      </c>
    </row>
    <row r="96">
      <c r="A96" s="13" t="n"/>
      <c r="B96" s="14" t="n"/>
      <c r="C96" s="5" t="n"/>
      <c r="D96" s="5" t="n"/>
      <c r="E96" s="5" t="n"/>
      <c r="F96" s="5" t="n"/>
      <c r="G96" s="10">
        <f>IF($A96="","",SUMIF($A$5:$A$300,$A96,$C$5:$C$300))</f>
        <v/>
      </c>
      <c r="H96" s="10">
        <f>IF($A96="","",SUMIF($A$5:$A$300,$A96,$D$5:$D$300))</f>
        <v/>
      </c>
      <c r="I96" s="10">
        <f>IF($A96="","",SUMIF($A$5:$A$300,$A96,$E$5:$E$300))</f>
        <v/>
      </c>
      <c r="J96" s="10">
        <f>IF($A96="","",SUMIF($A$5:$A$300,$A96,$F$5:$F$300))</f>
        <v/>
      </c>
      <c r="K96" s="10">
        <f>IF($A96="","",IF(SUMPRODUCT(($A$5:$A$300=$A96)*(ISNUMBER($D$5:$D$300)+ISNUMBER($E$5:$E$300)))=0,"",H96+I96-J96))</f>
        <v/>
      </c>
      <c r="L96" s="11">
        <f>IF(OR($A96="",K96=""),"",K96-G96)</f>
        <v/>
      </c>
      <c r="M96" s="12">
        <f>IF($A96="","",IF(K96="","not counted yet",IF(ABS(L96)&lt;=$B$3,"Balanced",IF(L96&lt;0,"Short","Over"))))</f>
        <v/>
      </c>
    </row>
    <row r="97">
      <c r="A97" s="13" t="n"/>
      <c r="B97" s="14" t="n"/>
      <c r="C97" s="5" t="n"/>
      <c r="D97" s="5" t="n"/>
      <c r="E97" s="5" t="n"/>
      <c r="F97" s="5" t="n"/>
      <c r="G97" s="10">
        <f>IF($A97="","",SUMIF($A$5:$A$300,$A97,$C$5:$C$300))</f>
        <v/>
      </c>
      <c r="H97" s="10">
        <f>IF($A97="","",SUMIF($A$5:$A$300,$A97,$D$5:$D$300))</f>
        <v/>
      </c>
      <c r="I97" s="10">
        <f>IF($A97="","",SUMIF($A$5:$A$300,$A97,$E$5:$E$300))</f>
        <v/>
      </c>
      <c r="J97" s="10">
        <f>IF($A97="","",SUMIF($A$5:$A$300,$A97,$F$5:$F$300))</f>
        <v/>
      </c>
      <c r="K97" s="10">
        <f>IF($A97="","",IF(SUMPRODUCT(($A$5:$A$300=$A97)*(ISNUMBER($D$5:$D$300)+ISNUMBER($E$5:$E$300)))=0,"",H97+I97-J97))</f>
        <v/>
      </c>
      <c r="L97" s="11">
        <f>IF(OR($A97="",K97=""),"",K97-G97)</f>
        <v/>
      </c>
      <c r="M97" s="12">
        <f>IF($A97="","",IF(K97="","not counted yet",IF(ABS(L97)&lt;=$B$3,"Balanced",IF(L97&lt;0,"Short","Over"))))</f>
        <v/>
      </c>
    </row>
    <row r="98">
      <c r="A98" s="13" t="n"/>
      <c r="B98" s="14" t="n"/>
      <c r="C98" s="5" t="n"/>
      <c r="D98" s="5" t="n"/>
      <c r="E98" s="5" t="n"/>
      <c r="F98" s="5" t="n"/>
      <c r="G98" s="10">
        <f>IF($A98="","",SUMIF($A$5:$A$300,$A98,$C$5:$C$300))</f>
        <v/>
      </c>
      <c r="H98" s="10">
        <f>IF($A98="","",SUMIF($A$5:$A$300,$A98,$D$5:$D$300))</f>
        <v/>
      </c>
      <c r="I98" s="10">
        <f>IF($A98="","",SUMIF($A$5:$A$300,$A98,$E$5:$E$300))</f>
        <v/>
      </c>
      <c r="J98" s="10">
        <f>IF($A98="","",SUMIF($A$5:$A$300,$A98,$F$5:$F$300))</f>
        <v/>
      </c>
      <c r="K98" s="10">
        <f>IF($A98="","",IF(SUMPRODUCT(($A$5:$A$300=$A98)*(ISNUMBER($D$5:$D$300)+ISNUMBER($E$5:$E$300)))=0,"",H98+I98-J98))</f>
        <v/>
      </c>
      <c r="L98" s="11">
        <f>IF(OR($A98="",K98=""),"",K98-G98)</f>
        <v/>
      </c>
      <c r="M98" s="12">
        <f>IF($A98="","",IF(K98="","not counted yet",IF(ABS(L98)&lt;=$B$3,"Balanced",IF(L98&lt;0,"Short","Over"))))</f>
        <v/>
      </c>
    </row>
    <row r="99">
      <c r="A99" s="13" t="n"/>
      <c r="B99" s="14" t="n"/>
      <c r="C99" s="5" t="n"/>
      <c r="D99" s="5" t="n"/>
      <c r="E99" s="5" t="n"/>
      <c r="F99" s="5" t="n"/>
      <c r="G99" s="10">
        <f>IF($A99="","",SUMIF($A$5:$A$300,$A99,$C$5:$C$300))</f>
        <v/>
      </c>
      <c r="H99" s="10">
        <f>IF($A99="","",SUMIF($A$5:$A$300,$A99,$D$5:$D$300))</f>
        <v/>
      </c>
      <c r="I99" s="10">
        <f>IF($A99="","",SUMIF($A$5:$A$300,$A99,$E$5:$E$300))</f>
        <v/>
      </c>
      <c r="J99" s="10">
        <f>IF($A99="","",SUMIF($A$5:$A$300,$A99,$F$5:$F$300))</f>
        <v/>
      </c>
      <c r="K99" s="10">
        <f>IF($A99="","",IF(SUMPRODUCT(($A$5:$A$300=$A99)*(ISNUMBER($D$5:$D$300)+ISNUMBER($E$5:$E$300)))=0,"",H99+I99-J99))</f>
        <v/>
      </c>
      <c r="L99" s="11">
        <f>IF(OR($A99="",K99=""),"",K99-G99)</f>
        <v/>
      </c>
      <c r="M99" s="12">
        <f>IF($A99="","",IF(K99="","not counted yet",IF(ABS(L99)&lt;=$B$3,"Balanced",IF(L99&lt;0,"Short","Over"))))</f>
        <v/>
      </c>
    </row>
    <row r="100">
      <c r="A100" s="13" t="n"/>
      <c r="B100" s="14" t="n"/>
      <c r="C100" s="5" t="n"/>
      <c r="D100" s="5" t="n"/>
      <c r="E100" s="5" t="n"/>
      <c r="F100" s="5" t="n"/>
      <c r="G100" s="10">
        <f>IF($A100="","",SUMIF($A$5:$A$300,$A100,$C$5:$C$300))</f>
        <v/>
      </c>
      <c r="H100" s="10">
        <f>IF($A100="","",SUMIF($A$5:$A$300,$A100,$D$5:$D$300))</f>
        <v/>
      </c>
      <c r="I100" s="10">
        <f>IF($A100="","",SUMIF($A$5:$A$300,$A100,$E$5:$E$300))</f>
        <v/>
      </c>
      <c r="J100" s="10">
        <f>IF($A100="","",SUMIF($A$5:$A$300,$A100,$F$5:$F$300))</f>
        <v/>
      </c>
      <c r="K100" s="10">
        <f>IF($A100="","",IF(SUMPRODUCT(($A$5:$A$300=$A100)*(ISNUMBER($D$5:$D$300)+ISNUMBER($E$5:$E$300)))=0,"",H100+I100-J100))</f>
        <v/>
      </c>
      <c r="L100" s="11">
        <f>IF(OR($A100="",K100=""),"",K100-G100)</f>
        <v/>
      </c>
      <c r="M100" s="12">
        <f>IF($A100="","",IF(K100="","not counted yet",IF(ABS(L100)&lt;=$B$3,"Balanced",IF(L100&lt;0,"Short","Over"))))</f>
        <v/>
      </c>
    </row>
    <row r="101">
      <c r="A101" s="13" t="n"/>
      <c r="B101" s="14" t="n"/>
      <c r="C101" s="5" t="n"/>
      <c r="D101" s="5" t="n"/>
      <c r="E101" s="5" t="n"/>
      <c r="F101" s="5" t="n"/>
      <c r="G101" s="10">
        <f>IF($A101="","",SUMIF($A$5:$A$300,$A101,$C$5:$C$300))</f>
        <v/>
      </c>
      <c r="H101" s="10">
        <f>IF($A101="","",SUMIF($A$5:$A$300,$A101,$D$5:$D$300))</f>
        <v/>
      </c>
      <c r="I101" s="10">
        <f>IF($A101="","",SUMIF($A$5:$A$300,$A101,$E$5:$E$300))</f>
        <v/>
      </c>
      <c r="J101" s="10">
        <f>IF($A101="","",SUMIF($A$5:$A$300,$A101,$F$5:$F$300))</f>
        <v/>
      </c>
      <c r="K101" s="10">
        <f>IF($A101="","",IF(SUMPRODUCT(($A$5:$A$300=$A101)*(ISNUMBER($D$5:$D$300)+ISNUMBER($E$5:$E$300)))=0,"",H101+I101-J101))</f>
        <v/>
      </c>
      <c r="L101" s="11">
        <f>IF(OR($A101="",K101=""),"",K101-G101)</f>
        <v/>
      </c>
      <c r="M101" s="12">
        <f>IF($A101="","",IF(K101="","not counted yet",IF(ABS(L101)&lt;=$B$3,"Balanced",IF(L101&lt;0,"Short","Over"))))</f>
        <v/>
      </c>
    </row>
    <row r="102">
      <c r="A102" s="13" t="n"/>
      <c r="B102" s="14" t="n"/>
      <c r="C102" s="5" t="n"/>
      <c r="D102" s="5" t="n"/>
      <c r="E102" s="5" t="n"/>
      <c r="F102" s="5" t="n"/>
      <c r="G102" s="10">
        <f>IF($A102="","",SUMIF($A$5:$A$300,$A102,$C$5:$C$300))</f>
        <v/>
      </c>
      <c r="H102" s="10">
        <f>IF($A102="","",SUMIF($A$5:$A$300,$A102,$D$5:$D$300))</f>
        <v/>
      </c>
      <c r="I102" s="10">
        <f>IF($A102="","",SUMIF($A$5:$A$300,$A102,$E$5:$E$300))</f>
        <v/>
      </c>
      <c r="J102" s="10">
        <f>IF($A102="","",SUMIF($A$5:$A$300,$A102,$F$5:$F$300))</f>
        <v/>
      </c>
      <c r="K102" s="10">
        <f>IF($A102="","",IF(SUMPRODUCT(($A$5:$A$300=$A102)*(ISNUMBER($D$5:$D$300)+ISNUMBER($E$5:$E$300)))=0,"",H102+I102-J102))</f>
        <v/>
      </c>
      <c r="L102" s="11">
        <f>IF(OR($A102="",K102=""),"",K102-G102)</f>
        <v/>
      </c>
      <c r="M102" s="12">
        <f>IF($A102="","",IF(K102="","not counted yet",IF(ABS(L102)&lt;=$B$3,"Balanced",IF(L102&lt;0,"Short","Over"))))</f>
        <v/>
      </c>
    </row>
    <row r="103">
      <c r="A103" s="13" t="n"/>
      <c r="B103" s="14" t="n"/>
      <c r="C103" s="5" t="n"/>
      <c r="D103" s="5" t="n"/>
      <c r="E103" s="5" t="n"/>
      <c r="F103" s="5" t="n"/>
      <c r="G103" s="10">
        <f>IF($A103="","",SUMIF($A$5:$A$300,$A103,$C$5:$C$300))</f>
        <v/>
      </c>
      <c r="H103" s="10">
        <f>IF($A103="","",SUMIF($A$5:$A$300,$A103,$D$5:$D$300))</f>
        <v/>
      </c>
      <c r="I103" s="10">
        <f>IF($A103="","",SUMIF($A$5:$A$300,$A103,$E$5:$E$300))</f>
        <v/>
      </c>
      <c r="J103" s="10">
        <f>IF($A103="","",SUMIF($A$5:$A$300,$A103,$F$5:$F$300))</f>
        <v/>
      </c>
      <c r="K103" s="10">
        <f>IF($A103="","",IF(SUMPRODUCT(($A$5:$A$300=$A103)*(ISNUMBER($D$5:$D$300)+ISNUMBER($E$5:$E$300)))=0,"",H103+I103-J103))</f>
        <v/>
      </c>
      <c r="L103" s="11">
        <f>IF(OR($A103="",K103=""),"",K103-G103)</f>
        <v/>
      </c>
      <c r="M103" s="12">
        <f>IF($A103="","",IF(K103="","not counted yet",IF(ABS(L103)&lt;=$B$3,"Balanced",IF(L103&lt;0,"Short","Over"))))</f>
        <v/>
      </c>
    </row>
    <row r="104">
      <c r="A104" s="13" t="n"/>
      <c r="B104" s="14" t="n"/>
      <c r="C104" s="5" t="n"/>
      <c r="D104" s="5" t="n"/>
      <c r="E104" s="5" t="n"/>
      <c r="F104" s="5" t="n"/>
      <c r="G104" s="10">
        <f>IF($A104="","",SUMIF($A$5:$A$300,$A104,$C$5:$C$300))</f>
        <v/>
      </c>
      <c r="H104" s="10">
        <f>IF($A104="","",SUMIF($A$5:$A$300,$A104,$D$5:$D$300))</f>
        <v/>
      </c>
      <c r="I104" s="10">
        <f>IF($A104="","",SUMIF($A$5:$A$300,$A104,$E$5:$E$300))</f>
        <v/>
      </c>
      <c r="J104" s="10">
        <f>IF($A104="","",SUMIF($A$5:$A$300,$A104,$F$5:$F$300))</f>
        <v/>
      </c>
      <c r="K104" s="10">
        <f>IF($A104="","",IF(SUMPRODUCT(($A$5:$A$300=$A104)*(ISNUMBER($D$5:$D$300)+ISNUMBER($E$5:$E$300)))=0,"",H104+I104-J104))</f>
        <v/>
      </c>
      <c r="L104" s="11">
        <f>IF(OR($A104="",K104=""),"",K104-G104)</f>
        <v/>
      </c>
      <c r="M104" s="12">
        <f>IF($A104="","",IF(K104="","not counted yet",IF(ABS(L104)&lt;=$B$3,"Balanced",IF(L104&lt;0,"Short","Over"))))</f>
        <v/>
      </c>
    </row>
    <row r="105">
      <c r="A105" s="13" t="n"/>
      <c r="B105" s="14" t="n"/>
      <c r="C105" s="5" t="n"/>
      <c r="D105" s="5" t="n"/>
      <c r="E105" s="5" t="n"/>
      <c r="F105" s="5" t="n"/>
      <c r="G105" s="10">
        <f>IF($A105="","",SUMIF($A$5:$A$300,$A105,$C$5:$C$300))</f>
        <v/>
      </c>
      <c r="H105" s="10">
        <f>IF($A105="","",SUMIF($A$5:$A$300,$A105,$D$5:$D$300))</f>
        <v/>
      </c>
      <c r="I105" s="10">
        <f>IF($A105="","",SUMIF($A$5:$A$300,$A105,$E$5:$E$300))</f>
        <v/>
      </c>
      <c r="J105" s="10">
        <f>IF($A105="","",SUMIF($A$5:$A$300,$A105,$F$5:$F$300))</f>
        <v/>
      </c>
      <c r="K105" s="10">
        <f>IF($A105="","",IF(SUMPRODUCT(($A$5:$A$300=$A105)*(ISNUMBER($D$5:$D$300)+ISNUMBER($E$5:$E$300)))=0,"",H105+I105-J105))</f>
        <v/>
      </c>
      <c r="L105" s="11">
        <f>IF(OR($A105="",K105=""),"",K105-G105)</f>
        <v/>
      </c>
      <c r="M105" s="12">
        <f>IF($A105="","",IF(K105="","not counted yet",IF(ABS(L105)&lt;=$B$3,"Balanced",IF(L105&lt;0,"Short","Over"))))</f>
        <v/>
      </c>
    </row>
    <row r="106">
      <c r="A106" s="13" t="n"/>
      <c r="B106" s="14" t="n"/>
      <c r="C106" s="5" t="n"/>
      <c r="D106" s="5" t="n"/>
      <c r="E106" s="5" t="n"/>
      <c r="F106" s="5" t="n"/>
      <c r="G106" s="10">
        <f>IF($A106="","",SUMIF($A$5:$A$300,$A106,$C$5:$C$300))</f>
        <v/>
      </c>
      <c r="H106" s="10">
        <f>IF($A106="","",SUMIF($A$5:$A$300,$A106,$D$5:$D$300))</f>
        <v/>
      </c>
      <c r="I106" s="10">
        <f>IF($A106="","",SUMIF($A$5:$A$300,$A106,$E$5:$E$300))</f>
        <v/>
      </c>
      <c r="J106" s="10">
        <f>IF($A106="","",SUMIF($A$5:$A$300,$A106,$F$5:$F$300))</f>
        <v/>
      </c>
      <c r="K106" s="10">
        <f>IF($A106="","",IF(SUMPRODUCT(($A$5:$A$300=$A106)*(ISNUMBER($D$5:$D$300)+ISNUMBER($E$5:$E$300)))=0,"",H106+I106-J106))</f>
        <v/>
      </c>
      <c r="L106" s="11">
        <f>IF(OR($A106="",K106=""),"",K106-G106)</f>
        <v/>
      </c>
      <c r="M106" s="12">
        <f>IF($A106="","",IF(K106="","not counted yet",IF(ABS(L106)&lt;=$B$3,"Balanced",IF(L106&lt;0,"Short","Over"))))</f>
        <v/>
      </c>
    </row>
    <row r="107">
      <c r="A107" s="13" t="n"/>
      <c r="B107" s="14" t="n"/>
      <c r="C107" s="5" t="n"/>
      <c r="D107" s="5" t="n"/>
      <c r="E107" s="5" t="n"/>
      <c r="F107" s="5" t="n"/>
      <c r="G107" s="10">
        <f>IF($A107="","",SUMIF($A$5:$A$300,$A107,$C$5:$C$300))</f>
        <v/>
      </c>
      <c r="H107" s="10">
        <f>IF($A107="","",SUMIF($A$5:$A$300,$A107,$D$5:$D$300))</f>
        <v/>
      </c>
      <c r="I107" s="10">
        <f>IF($A107="","",SUMIF($A$5:$A$300,$A107,$E$5:$E$300))</f>
        <v/>
      </c>
      <c r="J107" s="10">
        <f>IF($A107="","",SUMIF($A$5:$A$300,$A107,$F$5:$F$300))</f>
        <v/>
      </c>
      <c r="K107" s="10">
        <f>IF($A107="","",IF(SUMPRODUCT(($A$5:$A$300=$A107)*(ISNUMBER($D$5:$D$300)+ISNUMBER($E$5:$E$300)))=0,"",H107+I107-J107))</f>
        <v/>
      </c>
      <c r="L107" s="11">
        <f>IF(OR($A107="",K107=""),"",K107-G107)</f>
        <v/>
      </c>
      <c r="M107" s="12">
        <f>IF($A107="","",IF(K107="","not counted yet",IF(ABS(L107)&lt;=$B$3,"Balanced",IF(L107&lt;0,"Short","Over"))))</f>
        <v/>
      </c>
    </row>
    <row r="108">
      <c r="A108" s="13" t="n"/>
      <c r="B108" s="14" t="n"/>
      <c r="C108" s="5" t="n"/>
      <c r="D108" s="5" t="n"/>
      <c r="E108" s="5" t="n"/>
      <c r="F108" s="5" t="n"/>
      <c r="G108" s="10">
        <f>IF($A108="","",SUMIF($A$5:$A$300,$A108,$C$5:$C$300))</f>
        <v/>
      </c>
      <c r="H108" s="10">
        <f>IF($A108="","",SUMIF($A$5:$A$300,$A108,$D$5:$D$300))</f>
        <v/>
      </c>
      <c r="I108" s="10">
        <f>IF($A108="","",SUMIF($A$5:$A$300,$A108,$E$5:$E$300))</f>
        <v/>
      </c>
      <c r="J108" s="10">
        <f>IF($A108="","",SUMIF($A$5:$A$300,$A108,$F$5:$F$300))</f>
        <v/>
      </c>
      <c r="K108" s="10">
        <f>IF($A108="","",IF(SUMPRODUCT(($A$5:$A$300=$A108)*(ISNUMBER($D$5:$D$300)+ISNUMBER($E$5:$E$300)))=0,"",H108+I108-J108))</f>
        <v/>
      </c>
      <c r="L108" s="11">
        <f>IF(OR($A108="",K108=""),"",K108-G108)</f>
        <v/>
      </c>
      <c r="M108" s="12">
        <f>IF($A108="","",IF(K108="","not counted yet",IF(ABS(L108)&lt;=$B$3,"Balanced",IF(L108&lt;0,"Short","Over"))))</f>
        <v/>
      </c>
    </row>
    <row r="109">
      <c r="A109" s="13" t="n"/>
      <c r="B109" s="14" t="n"/>
      <c r="C109" s="5" t="n"/>
      <c r="D109" s="5" t="n"/>
      <c r="E109" s="5" t="n"/>
      <c r="F109" s="5" t="n"/>
      <c r="G109" s="10">
        <f>IF($A109="","",SUMIF($A$5:$A$300,$A109,$C$5:$C$300))</f>
        <v/>
      </c>
      <c r="H109" s="10">
        <f>IF($A109="","",SUMIF($A$5:$A$300,$A109,$D$5:$D$300))</f>
        <v/>
      </c>
      <c r="I109" s="10">
        <f>IF($A109="","",SUMIF($A$5:$A$300,$A109,$E$5:$E$300))</f>
        <v/>
      </c>
      <c r="J109" s="10">
        <f>IF($A109="","",SUMIF($A$5:$A$300,$A109,$F$5:$F$300))</f>
        <v/>
      </c>
      <c r="K109" s="10">
        <f>IF($A109="","",IF(SUMPRODUCT(($A$5:$A$300=$A109)*(ISNUMBER($D$5:$D$300)+ISNUMBER($E$5:$E$300)))=0,"",H109+I109-J109))</f>
        <v/>
      </c>
      <c r="L109" s="11">
        <f>IF(OR($A109="",K109=""),"",K109-G109)</f>
        <v/>
      </c>
      <c r="M109" s="12">
        <f>IF($A109="","",IF(K109="","not counted yet",IF(ABS(L109)&lt;=$B$3,"Balanced",IF(L109&lt;0,"Short","Over"))))</f>
        <v/>
      </c>
    </row>
    <row r="110">
      <c r="A110" s="13" t="n"/>
      <c r="B110" s="14" t="n"/>
      <c r="C110" s="5" t="n"/>
      <c r="D110" s="5" t="n"/>
      <c r="E110" s="5" t="n"/>
      <c r="F110" s="5" t="n"/>
      <c r="G110" s="10">
        <f>IF($A110="","",SUMIF($A$5:$A$300,$A110,$C$5:$C$300))</f>
        <v/>
      </c>
      <c r="H110" s="10">
        <f>IF($A110="","",SUMIF($A$5:$A$300,$A110,$D$5:$D$300))</f>
        <v/>
      </c>
      <c r="I110" s="10">
        <f>IF($A110="","",SUMIF($A$5:$A$300,$A110,$E$5:$E$300))</f>
        <v/>
      </c>
      <c r="J110" s="10">
        <f>IF($A110="","",SUMIF($A$5:$A$300,$A110,$F$5:$F$300))</f>
        <v/>
      </c>
      <c r="K110" s="10">
        <f>IF($A110="","",IF(SUMPRODUCT(($A$5:$A$300=$A110)*(ISNUMBER($D$5:$D$300)+ISNUMBER($E$5:$E$300)))=0,"",H110+I110-J110))</f>
        <v/>
      </c>
      <c r="L110" s="11">
        <f>IF(OR($A110="",K110=""),"",K110-G110)</f>
        <v/>
      </c>
      <c r="M110" s="12">
        <f>IF($A110="","",IF(K110="","not counted yet",IF(ABS(L110)&lt;=$B$3,"Balanced",IF(L110&lt;0,"Short","Over"))))</f>
        <v/>
      </c>
    </row>
    <row r="111">
      <c r="A111" s="13" t="n"/>
      <c r="B111" s="14" t="n"/>
      <c r="C111" s="5" t="n"/>
      <c r="D111" s="5" t="n"/>
      <c r="E111" s="5" t="n"/>
      <c r="F111" s="5" t="n"/>
      <c r="G111" s="10">
        <f>IF($A111="","",SUMIF($A$5:$A$300,$A111,$C$5:$C$300))</f>
        <v/>
      </c>
      <c r="H111" s="10">
        <f>IF($A111="","",SUMIF($A$5:$A$300,$A111,$D$5:$D$300))</f>
        <v/>
      </c>
      <c r="I111" s="10">
        <f>IF($A111="","",SUMIF($A$5:$A$300,$A111,$E$5:$E$300))</f>
        <v/>
      </c>
      <c r="J111" s="10">
        <f>IF($A111="","",SUMIF($A$5:$A$300,$A111,$F$5:$F$300))</f>
        <v/>
      </c>
      <c r="K111" s="10">
        <f>IF($A111="","",IF(SUMPRODUCT(($A$5:$A$300=$A111)*(ISNUMBER($D$5:$D$300)+ISNUMBER($E$5:$E$300)))=0,"",H111+I111-J111))</f>
        <v/>
      </c>
      <c r="L111" s="11">
        <f>IF(OR($A111="",K111=""),"",K111-G111)</f>
        <v/>
      </c>
      <c r="M111" s="12">
        <f>IF($A111="","",IF(K111="","not counted yet",IF(ABS(L111)&lt;=$B$3,"Balanced",IF(L111&lt;0,"Short","Over"))))</f>
        <v/>
      </c>
    </row>
    <row r="112">
      <c r="A112" s="13" t="n"/>
      <c r="B112" s="14" t="n"/>
      <c r="C112" s="5" t="n"/>
      <c r="D112" s="5" t="n"/>
      <c r="E112" s="5" t="n"/>
      <c r="F112" s="5" t="n"/>
      <c r="G112" s="10">
        <f>IF($A112="","",SUMIF($A$5:$A$300,$A112,$C$5:$C$300))</f>
        <v/>
      </c>
      <c r="H112" s="10">
        <f>IF($A112="","",SUMIF($A$5:$A$300,$A112,$D$5:$D$300))</f>
        <v/>
      </c>
      <c r="I112" s="10">
        <f>IF($A112="","",SUMIF($A$5:$A$300,$A112,$E$5:$E$300))</f>
        <v/>
      </c>
      <c r="J112" s="10">
        <f>IF($A112="","",SUMIF($A$5:$A$300,$A112,$F$5:$F$300))</f>
        <v/>
      </c>
      <c r="K112" s="10">
        <f>IF($A112="","",IF(SUMPRODUCT(($A$5:$A$300=$A112)*(ISNUMBER($D$5:$D$300)+ISNUMBER($E$5:$E$300)))=0,"",H112+I112-J112))</f>
        <v/>
      </c>
      <c r="L112" s="11">
        <f>IF(OR($A112="",K112=""),"",K112-G112)</f>
        <v/>
      </c>
      <c r="M112" s="12">
        <f>IF($A112="","",IF(K112="","not counted yet",IF(ABS(L112)&lt;=$B$3,"Balanced",IF(L112&lt;0,"Short","Over"))))</f>
        <v/>
      </c>
    </row>
    <row r="113">
      <c r="A113" s="13" t="n"/>
      <c r="B113" s="14" t="n"/>
      <c r="C113" s="5" t="n"/>
      <c r="D113" s="5" t="n"/>
      <c r="E113" s="5" t="n"/>
      <c r="F113" s="5" t="n"/>
      <c r="G113" s="10">
        <f>IF($A113="","",SUMIF($A$5:$A$300,$A113,$C$5:$C$300))</f>
        <v/>
      </c>
      <c r="H113" s="10">
        <f>IF($A113="","",SUMIF($A$5:$A$300,$A113,$D$5:$D$300))</f>
        <v/>
      </c>
      <c r="I113" s="10">
        <f>IF($A113="","",SUMIF($A$5:$A$300,$A113,$E$5:$E$300))</f>
        <v/>
      </c>
      <c r="J113" s="10">
        <f>IF($A113="","",SUMIF($A$5:$A$300,$A113,$F$5:$F$300))</f>
        <v/>
      </c>
      <c r="K113" s="10">
        <f>IF($A113="","",IF(SUMPRODUCT(($A$5:$A$300=$A113)*(ISNUMBER($D$5:$D$300)+ISNUMBER($E$5:$E$300)))=0,"",H113+I113-J113))</f>
        <v/>
      </c>
      <c r="L113" s="11">
        <f>IF(OR($A113="",K113=""),"",K113-G113)</f>
        <v/>
      </c>
      <c r="M113" s="12">
        <f>IF($A113="","",IF(K113="","not counted yet",IF(ABS(L113)&lt;=$B$3,"Balanced",IF(L113&lt;0,"Short","Over"))))</f>
        <v/>
      </c>
    </row>
    <row r="114">
      <c r="A114" s="13" t="n"/>
      <c r="B114" s="14" t="n"/>
      <c r="C114" s="5" t="n"/>
      <c r="D114" s="5" t="n"/>
      <c r="E114" s="5" t="n"/>
      <c r="F114" s="5" t="n"/>
      <c r="G114" s="10">
        <f>IF($A114="","",SUMIF($A$5:$A$300,$A114,$C$5:$C$300))</f>
        <v/>
      </c>
      <c r="H114" s="10">
        <f>IF($A114="","",SUMIF($A$5:$A$300,$A114,$D$5:$D$300))</f>
        <v/>
      </c>
      <c r="I114" s="10">
        <f>IF($A114="","",SUMIF($A$5:$A$300,$A114,$E$5:$E$300))</f>
        <v/>
      </c>
      <c r="J114" s="10">
        <f>IF($A114="","",SUMIF($A$5:$A$300,$A114,$F$5:$F$300))</f>
        <v/>
      </c>
      <c r="K114" s="10">
        <f>IF($A114="","",IF(SUMPRODUCT(($A$5:$A$300=$A114)*(ISNUMBER($D$5:$D$300)+ISNUMBER($E$5:$E$300)))=0,"",H114+I114-J114))</f>
        <v/>
      </c>
      <c r="L114" s="11">
        <f>IF(OR($A114="",K114=""),"",K114-G114)</f>
        <v/>
      </c>
      <c r="M114" s="12">
        <f>IF($A114="","",IF(K114="","not counted yet",IF(ABS(L114)&lt;=$B$3,"Balanced",IF(L114&lt;0,"Short","Over"))))</f>
        <v/>
      </c>
    </row>
    <row r="115">
      <c r="A115" s="13" t="n"/>
      <c r="B115" s="14" t="n"/>
      <c r="C115" s="5" t="n"/>
      <c r="D115" s="5" t="n"/>
      <c r="E115" s="5" t="n"/>
      <c r="F115" s="5" t="n"/>
      <c r="G115" s="10">
        <f>IF($A115="","",SUMIF($A$5:$A$300,$A115,$C$5:$C$300))</f>
        <v/>
      </c>
      <c r="H115" s="10">
        <f>IF($A115="","",SUMIF($A$5:$A$300,$A115,$D$5:$D$300))</f>
        <v/>
      </c>
      <c r="I115" s="10">
        <f>IF($A115="","",SUMIF($A$5:$A$300,$A115,$E$5:$E$300))</f>
        <v/>
      </c>
      <c r="J115" s="10">
        <f>IF($A115="","",SUMIF($A$5:$A$300,$A115,$F$5:$F$300))</f>
        <v/>
      </c>
      <c r="K115" s="10">
        <f>IF($A115="","",IF(SUMPRODUCT(($A$5:$A$300=$A115)*(ISNUMBER($D$5:$D$300)+ISNUMBER($E$5:$E$300)))=0,"",H115+I115-J115))</f>
        <v/>
      </c>
      <c r="L115" s="11">
        <f>IF(OR($A115="",K115=""),"",K115-G115)</f>
        <v/>
      </c>
      <c r="M115" s="12">
        <f>IF($A115="","",IF(K115="","not counted yet",IF(ABS(L115)&lt;=$B$3,"Balanced",IF(L115&lt;0,"Short","Over"))))</f>
        <v/>
      </c>
    </row>
    <row r="116">
      <c r="A116" s="13" t="n"/>
      <c r="B116" s="14" t="n"/>
      <c r="C116" s="5" t="n"/>
      <c r="D116" s="5" t="n"/>
      <c r="E116" s="5" t="n"/>
      <c r="F116" s="5" t="n"/>
      <c r="G116" s="10">
        <f>IF($A116="","",SUMIF($A$5:$A$300,$A116,$C$5:$C$300))</f>
        <v/>
      </c>
      <c r="H116" s="10">
        <f>IF($A116="","",SUMIF($A$5:$A$300,$A116,$D$5:$D$300))</f>
        <v/>
      </c>
      <c r="I116" s="10">
        <f>IF($A116="","",SUMIF($A$5:$A$300,$A116,$E$5:$E$300))</f>
        <v/>
      </c>
      <c r="J116" s="10">
        <f>IF($A116="","",SUMIF($A$5:$A$300,$A116,$F$5:$F$300))</f>
        <v/>
      </c>
      <c r="K116" s="10">
        <f>IF($A116="","",IF(SUMPRODUCT(($A$5:$A$300=$A116)*(ISNUMBER($D$5:$D$300)+ISNUMBER($E$5:$E$300)))=0,"",H116+I116-J116))</f>
        <v/>
      </c>
      <c r="L116" s="11">
        <f>IF(OR($A116="",K116=""),"",K116-G116)</f>
        <v/>
      </c>
      <c r="M116" s="12">
        <f>IF($A116="","",IF(K116="","not counted yet",IF(ABS(L116)&lt;=$B$3,"Balanced",IF(L116&lt;0,"Short","Over"))))</f>
        <v/>
      </c>
    </row>
    <row r="117">
      <c r="A117" s="13" t="n"/>
      <c r="B117" s="14" t="n"/>
      <c r="C117" s="5" t="n"/>
      <c r="D117" s="5" t="n"/>
      <c r="E117" s="5" t="n"/>
      <c r="F117" s="5" t="n"/>
      <c r="G117" s="10">
        <f>IF($A117="","",SUMIF($A$5:$A$300,$A117,$C$5:$C$300))</f>
        <v/>
      </c>
      <c r="H117" s="10">
        <f>IF($A117="","",SUMIF($A$5:$A$300,$A117,$D$5:$D$300))</f>
        <v/>
      </c>
      <c r="I117" s="10">
        <f>IF($A117="","",SUMIF($A$5:$A$300,$A117,$E$5:$E$300))</f>
        <v/>
      </c>
      <c r="J117" s="10">
        <f>IF($A117="","",SUMIF($A$5:$A$300,$A117,$F$5:$F$300))</f>
        <v/>
      </c>
      <c r="K117" s="10">
        <f>IF($A117="","",IF(SUMPRODUCT(($A$5:$A$300=$A117)*(ISNUMBER($D$5:$D$300)+ISNUMBER($E$5:$E$300)))=0,"",H117+I117-J117))</f>
        <v/>
      </c>
      <c r="L117" s="11">
        <f>IF(OR($A117="",K117=""),"",K117-G117)</f>
        <v/>
      </c>
      <c r="M117" s="12">
        <f>IF($A117="","",IF(K117="","not counted yet",IF(ABS(L117)&lt;=$B$3,"Balanced",IF(L117&lt;0,"Short","Over"))))</f>
        <v/>
      </c>
    </row>
    <row r="118">
      <c r="A118" s="13" t="n"/>
      <c r="B118" s="14" t="n"/>
      <c r="C118" s="5" t="n"/>
      <c r="D118" s="5" t="n"/>
      <c r="E118" s="5" t="n"/>
      <c r="F118" s="5" t="n"/>
      <c r="G118" s="10">
        <f>IF($A118="","",SUMIF($A$5:$A$300,$A118,$C$5:$C$300))</f>
        <v/>
      </c>
      <c r="H118" s="10">
        <f>IF($A118="","",SUMIF($A$5:$A$300,$A118,$D$5:$D$300))</f>
        <v/>
      </c>
      <c r="I118" s="10">
        <f>IF($A118="","",SUMIF($A$5:$A$300,$A118,$E$5:$E$300))</f>
        <v/>
      </c>
      <c r="J118" s="10">
        <f>IF($A118="","",SUMIF($A$5:$A$300,$A118,$F$5:$F$300))</f>
        <v/>
      </c>
      <c r="K118" s="10">
        <f>IF($A118="","",IF(SUMPRODUCT(($A$5:$A$300=$A118)*(ISNUMBER($D$5:$D$300)+ISNUMBER($E$5:$E$300)))=0,"",H118+I118-J118))</f>
        <v/>
      </c>
      <c r="L118" s="11">
        <f>IF(OR($A118="",K118=""),"",K118-G118)</f>
        <v/>
      </c>
      <c r="M118" s="12">
        <f>IF($A118="","",IF(K118="","not counted yet",IF(ABS(L118)&lt;=$B$3,"Balanced",IF(L118&lt;0,"Short","Over"))))</f>
        <v/>
      </c>
    </row>
    <row r="119">
      <c r="A119" s="13" t="n"/>
      <c r="B119" s="14" t="n"/>
      <c r="C119" s="5" t="n"/>
      <c r="D119" s="5" t="n"/>
      <c r="E119" s="5" t="n"/>
      <c r="F119" s="5" t="n"/>
      <c r="G119" s="10">
        <f>IF($A119="","",SUMIF($A$5:$A$300,$A119,$C$5:$C$300))</f>
        <v/>
      </c>
      <c r="H119" s="10">
        <f>IF($A119="","",SUMIF($A$5:$A$300,$A119,$D$5:$D$300))</f>
        <v/>
      </c>
      <c r="I119" s="10">
        <f>IF($A119="","",SUMIF($A$5:$A$300,$A119,$E$5:$E$300))</f>
        <v/>
      </c>
      <c r="J119" s="10">
        <f>IF($A119="","",SUMIF($A$5:$A$300,$A119,$F$5:$F$300))</f>
        <v/>
      </c>
      <c r="K119" s="10">
        <f>IF($A119="","",IF(SUMPRODUCT(($A$5:$A$300=$A119)*(ISNUMBER($D$5:$D$300)+ISNUMBER($E$5:$E$300)))=0,"",H119+I119-J119))</f>
        <v/>
      </c>
      <c r="L119" s="11">
        <f>IF(OR($A119="",K119=""),"",K119-G119)</f>
        <v/>
      </c>
      <c r="M119" s="12">
        <f>IF($A119="","",IF(K119="","not counted yet",IF(ABS(L119)&lt;=$B$3,"Balanced",IF(L119&lt;0,"Short","Over"))))</f>
        <v/>
      </c>
    </row>
    <row r="120">
      <c r="A120" s="13" t="n"/>
      <c r="B120" s="14" t="n"/>
      <c r="C120" s="5" t="n"/>
      <c r="D120" s="5" t="n"/>
      <c r="E120" s="5" t="n"/>
      <c r="F120" s="5" t="n"/>
      <c r="G120" s="10">
        <f>IF($A120="","",SUMIF($A$5:$A$300,$A120,$C$5:$C$300))</f>
        <v/>
      </c>
      <c r="H120" s="10">
        <f>IF($A120="","",SUMIF($A$5:$A$300,$A120,$D$5:$D$300))</f>
        <v/>
      </c>
      <c r="I120" s="10">
        <f>IF($A120="","",SUMIF($A$5:$A$300,$A120,$E$5:$E$300))</f>
        <v/>
      </c>
      <c r="J120" s="10">
        <f>IF($A120="","",SUMIF($A$5:$A$300,$A120,$F$5:$F$300))</f>
        <v/>
      </c>
      <c r="K120" s="10">
        <f>IF($A120="","",IF(SUMPRODUCT(($A$5:$A$300=$A120)*(ISNUMBER($D$5:$D$300)+ISNUMBER($E$5:$E$300)))=0,"",H120+I120-J120))</f>
        <v/>
      </c>
      <c r="L120" s="11">
        <f>IF(OR($A120="",K120=""),"",K120-G120)</f>
        <v/>
      </c>
      <c r="M120" s="12">
        <f>IF($A120="","",IF(K120="","not counted yet",IF(ABS(L120)&lt;=$B$3,"Balanced",IF(L120&lt;0,"Short","Over"))))</f>
        <v/>
      </c>
    </row>
    <row r="121">
      <c r="A121" s="13" t="n"/>
      <c r="B121" s="14" t="n"/>
      <c r="C121" s="5" t="n"/>
      <c r="D121" s="5" t="n"/>
      <c r="E121" s="5" t="n"/>
      <c r="F121" s="5" t="n"/>
      <c r="G121" s="10">
        <f>IF($A121="","",SUMIF($A$5:$A$300,$A121,$C$5:$C$300))</f>
        <v/>
      </c>
      <c r="H121" s="10">
        <f>IF($A121="","",SUMIF($A$5:$A$300,$A121,$D$5:$D$300))</f>
        <v/>
      </c>
      <c r="I121" s="10">
        <f>IF($A121="","",SUMIF($A$5:$A$300,$A121,$E$5:$E$300))</f>
        <v/>
      </c>
      <c r="J121" s="10">
        <f>IF($A121="","",SUMIF($A$5:$A$300,$A121,$F$5:$F$300))</f>
        <v/>
      </c>
      <c r="K121" s="10">
        <f>IF($A121="","",IF(SUMPRODUCT(($A$5:$A$300=$A121)*(ISNUMBER($D$5:$D$300)+ISNUMBER($E$5:$E$300)))=0,"",H121+I121-J121))</f>
        <v/>
      </c>
      <c r="L121" s="11">
        <f>IF(OR($A121="",K121=""),"",K121-G121)</f>
        <v/>
      </c>
      <c r="M121" s="12">
        <f>IF($A121="","",IF(K121="","not counted yet",IF(ABS(L121)&lt;=$B$3,"Balanced",IF(L121&lt;0,"Short","Over"))))</f>
        <v/>
      </c>
    </row>
    <row r="122">
      <c r="A122" s="13" t="n"/>
      <c r="B122" s="14" t="n"/>
      <c r="C122" s="5" t="n"/>
      <c r="D122" s="5" t="n"/>
      <c r="E122" s="5" t="n"/>
      <c r="F122" s="5" t="n"/>
      <c r="G122" s="10">
        <f>IF($A122="","",SUMIF($A$5:$A$300,$A122,$C$5:$C$300))</f>
        <v/>
      </c>
      <c r="H122" s="10">
        <f>IF($A122="","",SUMIF($A$5:$A$300,$A122,$D$5:$D$300))</f>
        <v/>
      </c>
      <c r="I122" s="10">
        <f>IF($A122="","",SUMIF($A$5:$A$300,$A122,$E$5:$E$300))</f>
        <v/>
      </c>
      <c r="J122" s="10">
        <f>IF($A122="","",SUMIF($A$5:$A$300,$A122,$F$5:$F$300))</f>
        <v/>
      </c>
      <c r="K122" s="10">
        <f>IF($A122="","",IF(SUMPRODUCT(($A$5:$A$300=$A122)*(ISNUMBER($D$5:$D$300)+ISNUMBER($E$5:$E$300)))=0,"",H122+I122-J122))</f>
        <v/>
      </c>
      <c r="L122" s="11">
        <f>IF(OR($A122="",K122=""),"",K122-G122)</f>
        <v/>
      </c>
      <c r="M122" s="12">
        <f>IF($A122="","",IF(K122="","not counted yet",IF(ABS(L122)&lt;=$B$3,"Balanced",IF(L122&lt;0,"Short","Over"))))</f>
        <v/>
      </c>
    </row>
    <row r="123">
      <c r="A123" s="13" t="n"/>
      <c r="B123" s="14" t="n"/>
      <c r="C123" s="5" t="n"/>
      <c r="D123" s="5" t="n"/>
      <c r="E123" s="5" t="n"/>
      <c r="F123" s="5" t="n"/>
      <c r="G123" s="10">
        <f>IF($A123="","",SUMIF($A$5:$A$300,$A123,$C$5:$C$300))</f>
        <v/>
      </c>
      <c r="H123" s="10">
        <f>IF($A123="","",SUMIF($A$5:$A$300,$A123,$D$5:$D$300))</f>
        <v/>
      </c>
      <c r="I123" s="10">
        <f>IF($A123="","",SUMIF($A$5:$A$300,$A123,$E$5:$E$300))</f>
        <v/>
      </c>
      <c r="J123" s="10">
        <f>IF($A123="","",SUMIF($A$5:$A$300,$A123,$F$5:$F$300))</f>
        <v/>
      </c>
      <c r="K123" s="10">
        <f>IF($A123="","",IF(SUMPRODUCT(($A$5:$A$300=$A123)*(ISNUMBER($D$5:$D$300)+ISNUMBER($E$5:$E$300)))=0,"",H123+I123-J123))</f>
        <v/>
      </c>
      <c r="L123" s="11">
        <f>IF(OR($A123="",K123=""),"",K123-G123)</f>
        <v/>
      </c>
      <c r="M123" s="12">
        <f>IF($A123="","",IF(K123="","not counted yet",IF(ABS(L123)&lt;=$B$3,"Balanced",IF(L123&lt;0,"Short","Over"))))</f>
        <v/>
      </c>
    </row>
    <row r="124">
      <c r="A124" s="13" t="n"/>
      <c r="B124" s="14" t="n"/>
      <c r="C124" s="5" t="n"/>
      <c r="D124" s="5" t="n"/>
      <c r="E124" s="5" t="n"/>
      <c r="F124" s="5" t="n"/>
      <c r="G124" s="10">
        <f>IF($A124="","",SUMIF($A$5:$A$300,$A124,$C$5:$C$300))</f>
        <v/>
      </c>
      <c r="H124" s="10">
        <f>IF($A124="","",SUMIF($A$5:$A$300,$A124,$D$5:$D$300))</f>
        <v/>
      </c>
      <c r="I124" s="10">
        <f>IF($A124="","",SUMIF($A$5:$A$300,$A124,$E$5:$E$300))</f>
        <v/>
      </c>
      <c r="J124" s="10">
        <f>IF($A124="","",SUMIF($A$5:$A$300,$A124,$F$5:$F$300))</f>
        <v/>
      </c>
      <c r="K124" s="10">
        <f>IF($A124="","",IF(SUMPRODUCT(($A$5:$A$300=$A124)*(ISNUMBER($D$5:$D$300)+ISNUMBER($E$5:$E$300)))=0,"",H124+I124-J124))</f>
        <v/>
      </c>
      <c r="L124" s="11">
        <f>IF(OR($A124="",K124=""),"",K124-G124)</f>
        <v/>
      </c>
      <c r="M124" s="12">
        <f>IF($A124="","",IF(K124="","not counted yet",IF(ABS(L124)&lt;=$B$3,"Balanced",IF(L124&lt;0,"Short","Over"))))</f>
        <v/>
      </c>
    </row>
    <row r="125">
      <c r="A125" s="13" t="n"/>
      <c r="B125" s="14" t="n"/>
      <c r="C125" s="5" t="n"/>
      <c r="D125" s="5" t="n"/>
      <c r="E125" s="5" t="n"/>
      <c r="F125" s="5" t="n"/>
      <c r="G125" s="10">
        <f>IF($A125="","",SUMIF($A$5:$A$300,$A125,$C$5:$C$300))</f>
        <v/>
      </c>
      <c r="H125" s="10">
        <f>IF($A125="","",SUMIF($A$5:$A$300,$A125,$D$5:$D$300))</f>
        <v/>
      </c>
      <c r="I125" s="10">
        <f>IF($A125="","",SUMIF($A$5:$A$300,$A125,$E$5:$E$300))</f>
        <v/>
      </c>
      <c r="J125" s="10">
        <f>IF($A125="","",SUMIF($A$5:$A$300,$A125,$F$5:$F$300))</f>
        <v/>
      </c>
      <c r="K125" s="10">
        <f>IF($A125="","",IF(SUMPRODUCT(($A$5:$A$300=$A125)*(ISNUMBER($D$5:$D$300)+ISNUMBER($E$5:$E$300)))=0,"",H125+I125-J125))</f>
        <v/>
      </c>
      <c r="L125" s="11">
        <f>IF(OR($A125="",K125=""),"",K125-G125)</f>
        <v/>
      </c>
      <c r="M125" s="12">
        <f>IF($A125="","",IF(K125="","not counted yet",IF(ABS(L125)&lt;=$B$3,"Balanced",IF(L125&lt;0,"Short","Over"))))</f>
        <v/>
      </c>
    </row>
    <row r="126">
      <c r="A126" s="13" t="n"/>
      <c r="B126" s="14" t="n"/>
      <c r="C126" s="5" t="n"/>
      <c r="D126" s="5" t="n"/>
      <c r="E126" s="5" t="n"/>
      <c r="F126" s="5" t="n"/>
      <c r="G126" s="10">
        <f>IF($A126="","",SUMIF($A$5:$A$300,$A126,$C$5:$C$300))</f>
        <v/>
      </c>
      <c r="H126" s="10">
        <f>IF($A126="","",SUMIF($A$5:$A$300,$A126,$D$5:$D$300))</f>
        <v/>
      </c>
      <c r="I126" s="10">
        <f>IF($A126="","",SUMIF($A$5:$A$300,$A126,$E$5:$E$300))</f>
        <v/>
      </c>
      <c r="J126" s="10">
        <f>IF($A126="","",SUMIF($A$5:$A$300,$A126,$F$5:$F$300))</f>
        <v/>
      </c>
      <c r="K126" s="10">
        <f>IF($A126="","",IF(SUMPRODUCT(($A$5:$A$300=$A126)*(ISNUMBER($D$5:$D$300)+ISNUMBER($E$5:$E$300)))=0,"",H126+I126-J126))</f>
        <v/>
      </c>
      <c r="L126" s="11">
        <f>IF(OR($A126="",K126=""),"",K126-G126)</f>
        <v/>
      </c>
      <c r="M126" s="12">
        <f>IF($A126="","",IF(K126="","not counted yet",IF(ABS(L126)&lt;=$B$3,"Balanced",IF(L126&lt;0,"Short","Over"))))</f>
        <v/>
      </c>
    </row>
    <row r="127">
      <c r="A127" s="13" t="n"/>
      <c r="B127" s="14" t="n"/>
      <c r="C127" s="5" t="n"/>
      <c r="D127" s="5" t="n"/>
      <c r="E127" s="5" t="n"/>
      <c r="F127" s="5" t="n"/>
      <c r="G127" s="10">
        <f>IF($A127="","",SUMIF($A$5:$A$300,$A127,$C$5:$C$300))</f>
        <v/>
      </c>
      <c r="H127" s="10">
        <f>IF($A127="","",SUMIF($A$5:$A$300,$A127,$D$5:$D$300))</f>
        <v/>
      </c>
      <c r="I127" s="10">
        <f>IF($A127="","",SUMIF($A$5:$A$300,$A127,$E$5:$E$300))</f>
        <v/>
      </c>
      <c r="J127" s="10">
        <f>IF($A127="","",SUMIF($A$5:$A$300,$A127,$F$5:$F$300))</f>
        <v/>
      </c>
      <c r="K127" s="10">
        <f>IF($A127="","",IF(SUMPRODUCT(($A$5:$A$300=$A127)*(ISNUMBER($D$5:$D$300)+ISNUMBER($E$5:$E$300)))=0,"",H127+I127-J127))</f>
        <v/>
      </c>
      <c r="L127" s="11">
        <f>IF(OR($A127="",K127=""),"",K127-G127)</f>
        <v/>
      </c>
      <c r="M127" s="12">
        <f>IF($A127="","",IF(K127="","not counted yet",IF(ABS(L127)&lt;=$B$3,"Balanced",IF(L127&lt;0,"Short","Over"))))</f>
        <v/>
      </c>
    </row>
    <row r="128">
      <c r="A128" s="13" t="n"/>
      <c r="B128" s="14" t="n"/>
      <c r="C128" s="5" t="n"/>
      <c r="D128" s="5" t="n"/>
      <c r="E128" s="5" t="n"/>
      <c r="F128" s="5" t="n"/>
      <c r="G128" s="10">
        <f>IF($A128="","",SUMIF($A$5:$A$300,$A128,$C$5:$C$300))</f>
        <v/>
      </c>
      <c r="H128" s="10">
        <f>IF($A128="","",SUMIF($A$5:$A$300,$A128,$D$5:$D$300))</f>
        <v/>
      </c>
      <c r="I128" s="10">
        <f>IF($A128="","",SUMIF($A$5:$A$300,$A128,$E$5:$E$300))</f>
        <v/>
      </c>
      <c r="J128" s="10">
        <f>IF($A128="","",SUMIF($A$5:$A$300,$A128,$F$5:$F$300))</f>
        <v/>
      </c>
      <c r="K128" s="10">
        <f>IF($A128="","",IF(SUMPRODUCT(($A$5:$A$300=$A128)*(ISNUMBER($D$5:$D$300)+ISNUMBER($E$5:$E$300)))=0,"",H128+I128-J128))</f>
        <v/>
      </c>
      <c r="L128" s="11">
        <f>IF(OR($A128="",K128=""),"",K128-G128)</f>
        <v/>
      </c>
      <c r="M128" s="12">
        <f>IF($A128="","",IF(K128="","not counted yet",IF(ABS(L128)&lt;=$B$3,"Balanced",IF(L128&lt;0,"Short","Over"))))</f>
        <v/>
      </c>
    </row>
    <row r="129">
      <c r="A129" s="13" t="n"/>
      <c r="B129" s="14" t="n"/>
      <c r="C129" s="5" t="n"/>
      <c r="D129" s="5" t="n"/>
      <c r="E129" s="5" t="n"/>
      <c r="F129" s="5" t="n"/>
      <c r="G129" s="10">
        <f>IF($A129="","",SUMIF($A$5:$A$300,$A129,$C$5:$C$300))</f>
        <v/>
      </c>
      <c r="H129" s="10">
        <f>IF($A129="","",SUMIF($A$5:$A$300,$A129,$D$5:$D$300))</f>
        <v/>
      </c>
      <c r="I129" s="10">
        <f>IF($A129="","",SUMIF($A$5:$A$300,$A129,$E$5:$E$300))</f>
        <v/>
      </c>
      <c r="J129" s="10">
        <f>IF($A129="","",SUMIF($A$5:$A$300,$A129,$F$5:$F$300))</f>
        <v/>
      </c>
      <c r="K129" s="10">
        <f>IF($A129="","",IF(SUMPRODUCT(($A$5:$A$300=$A129)*(ISNUMBER($D$5:$D$300)+ISNUMBER($E$5:$E$300)))=0,"",H129+I129-J129))</f>
        <v/>
      </c>
      <c r="L129" s="11">
        <f>IF(OR($A129="",K129=""),"",K129-G129)</f>
        <v/>
      </c>
      <c r="M129" s="12">
        <f>IF($A129="","",IF(K129="","not counted yet",IF(ABS(L129)&lt;=$B$3,"Balanced",IF(L129&lt;0,"Short","Over"))))</f>
        <v/>
      </c>
    </row>
    <row r="130">
      <c r="A130" s="13" t="n"/>
      <c r="B130" s="14" t="n"/>
      <c r="C130" s="5" t="n"/>
      <c r="D130" s="5" t="n"/>
      <c r="E130" s="5" t="n"/>
      <c r="F130" s="5" t="n"/>
      <c r="G130" s="10">
        <f>IF($A130="","",SUMIF($A$5:$A$300,$A130,$C$5:$C$300))</f>
        <v/>
      </c>
      <c r="H130" s="10">
        <f>IF($A130="","",SUMIF($A$5:$A$300,$A130,$D$5:$D$300))</f>
        <v/>
      </c>
      <c r="I130" s="10">
        <f>IF($A130="","",SUMIF($A$5:$A$300,$A130,$E$5:$E$300))</f>
        <v/>
      </c>
      <c r="J130" s="10">
        <f>IF($A130="","",SUMIF($A$5:$A$300,$A130,$F$5:$F$300))</f>
        <v/>
      </c>
      <c r="K130" s="10">
        <f>IF($A130="","",IF(SUMPRODUCT(($A$5:$A$300=$A130)*(ISNUMBER($D$5:$D$300)+ISNUMBER($E$5:$E$300)))=0,"",H130+I130-J130))</f>
        <v/>
      </c>
      <c r="L130" s="11">
        <f>IF(OR($A130="",K130=""),"",K130-G130)</f>
        <v/>
      </c>
      <c r="M130" s="12">
        <f>IF($A130="","",IF(K130="","not counted yet",IF(ABS(L130)&lt;=$B$3,"Balanced",IF(L130&lt;0,"Short","Over"))))</f>
        <v/>
      </c>
    </row>
    <row r="131">
      <c r="A131" s="13" t="n"/>
      <c r="B131" s="14" t="n"/>
      <c r="C131" s="5" t="n"/>
      <c r="D131" s="5" t="n"/>
      <c r="E131" s="5" t="n"/>
      <c r="F131" s="5" t="n"/>
      <c r="G131" s="10">
        <f>IF($A131="","",SUMIF($A$5:$A$300,$A131,$C$5:$C$300))</f>
        <v/>
      </c>
      <c r="H131" s="10">
        <f>IF($A131="","",SUMIF($A$5:$A$300,$A131,$D$5:$D$300))</f>
        <v/>
      </c>
      <c r="I131" s="10">
        <f>IF($A131="","",SUMIF($A$5:$A$300,$A131,$E$5:$E$300))</f>
        <v/>
      </c>
      <c r="J131" s="10">
        <f>IF($A131="","",SUMIF($A$5:$A$300,$A131,$F$5:$F$300))</f>
        <v/>
      </c>
      <c r="K131" s="10">
        <f>IF($A131="","",IF(SUMPRODUCT(($A$5:$A$300=$A131)*(ISNUMBER($D$5:$D$300)+ISNUMBER($E$5:$E$300)))=0,"",H131+I131-J131))</f>
        <v/>
      </c>
      <c r="L131" s="11">
        <f>IF(OR($A131="",K131=""),"",K131-G131)</f>
        <v/>
      </c>
      <c r="M131" s="12">
        <f>IF($A131="","",IF(K131="","not counted yet",IF(ABS(L131)&lt;=$B$3,"Balanced",IF(L131&lt;0,"Short","Over"))))</f>
        <v/>
      </c>
    </row>
    <row r="132">
      <c r="A132" s="13" t="n"/>
      <c r="B132" s="14" t="n"/>
      <c r="C132" s="5" t="n"/>
      <c r="D132" s="5" t="n"/>
      <c r="E132" s="5" t="n"/>
      <c r="F132" s="5" t="n"/>
      <c r="G132" s="10">
        <f>IF($A132="","",SUMIF($A$5:$A$300,$A132,$C$5:$C$300))</f>
        <v/>
      </c>
      <c r="H132" s="10">
        <f>IF($A132="","",SUMIF($A$5:$A$300,$A132,$D$5:$D$300))</f>
        <v/>
      </c>
      <c r="I132" s="10">
        <f>IF($A132="","",SUMIF($A$5:$A$300,$A132,$E$5:$E$300))</f>
        <v/>
      </c>
      <c r="J132" s="10">
        <f>IF($A132="","",SUMIF($A$5:$A$300,$A132,$F$5:$F$300))</f>
        <v/>
      </c>
      <c r="K132" s="10">
        <f>IF($A132="","",IF(SUMPRODUCT(($A$5:$A$300=$A132)*(ISNUMBER($D$5:$D$300)+ISNUMBER($E$5:$E$300)))=0,"",H132+I132-J132))</f>
        <v/>
      </c>
      <c r="L132" s="11">
        <f>IF(OR($A132="",K132=""),"",K132-G132)</f>
        <v/>
      </c>
      <c r="M132" s="12">
        <f>IF($A132="","",IF(K132="","not counted yet",IF(ABS(L132)&lt;=$B$3,"Balanced",IF(L132&lt;0,"Short","Over"))))</f>
        <v/>
      </c>
    </row>
    <row r="133">
      <c r="A133" s="13" t="n"/>
      <c r="B133" s="14" t="n"/>
      <c r="C133" s="5" t="n"/>
      <c r="D133" s="5" t="n"/>
      <c r="E133" s="5" t="n"/>
      <c r="F133" s="5" t="n"/>
      <c r="G133" s="10">
        <f>IF($A133="","",SUMIF($A$5:$A$300,$A133,$C$5:$C$300))</f>
        <v/>
      </c>
      <c r="H133" s="10">
        <f>IF($A133="","",SUMIF($A$5:$A$300,$A133,$D$5:$D$300))</f>
        <v/>
      </c>
      <c r="I133" s="10">
        <f>IF($A133="","",SUMIF($A$5:$A$300,$A133,$E$5:$E$300))</f>
        <v/>
      </c>
      <c r="J133" s="10">
        <f>IF($A133="","",SUMIF($A$5:$A$300,$A133,$F$5:$F$300))</f>
        <v/>
      </c>
      <c r="K133" s="10">
        <f>IF($A133="","",IF(SUMPRODUCT(($A$5:$A$300=$A133)*(ISNUMBER($D$5:$D$300)+ISNUMBER($E$5:$E$300)))=0,"",H133+I133-J133))</f>
        <v/>
      </c>
      <c r="L133" s="11">
        <f>IF(OR($A133="",K133=""),"",K133-G133)</f>
        <v/>
      </c>
      <c r="M133" s="12">
        <f>IF($A133="","",IF(K133="","not counted yet",IF(ABS(L133)&lt;=$B$3,"Balanced",IF(L133&lt;0,"Short","Over"))))</f>
        <v/>
      </c>
    </row>
    <row r="134">
      <c r="A134" s="13" t="n"/>
      <c r="B134" s="14" t="n"/>
      <c r="C134" s="5" t="n"/>
      <c r="D134" s="5" t="n"/>
      <c r="E134" s="5" t="n"/>
      <c r="F134" s="5" t="n"/>
      <c r="G134" s="10">
        <f>IF($A134="","",SUMIF($A$5:$A$300,$A134,$C$5:$C$300))</f>
        <v/>
      </c>
      <c r="H134" s="10">
        <f>IF($A134="","",SUMIF($A$5:$A$300,$A134,$D$5:$D$300))</f>
        <v/>
      </c>
      <c r="I134" s="10">
        <f>IF($A134="","",SUMIF($A$5:$A$300,$A134,$E$5:$E$300))</f>
        <v/>
      </c>
      <c r="J134" s="10">
        <f>IF($A134="","",SUMIF($A$5:$A$300,$A134,$F$5:$F$300))</f>
        <v/>
      </c>
      <c r="K134" s="10">
        <f>IF($A134="","",IF(SUMPRODUCT(($A$5:$A$300=$A134)*(ISNUMBER($D$5:$D$300)+ISNUMBER($E$5:$E$300)))=0,"",H134+I134-J134))</f>
        <v/>
      </c>
      <c r="L134" s="11">
        <f>IF(OR($A134="",K134=""),"",K134-G134)</f>
        <v/>
      </c>
      <c r="M134" s="12">
        <f>IF($A134="","",IF(K134="","not counted yet",IF(ABS(L134)&lt;=$B$3,"Balanced",IF(L134&lt;0,"Short","Over"))))</f>
        <v/>
      </c>
    </row>
    <row r="135">
      <c r="A135" s="13" t="n"/>
      <c r="B135" s="14" t="n"/>
      <c r="C135" s="5" t="n"/>
      <c r="D135" s="5" t="n"/>
      <c r="E135" s="5" t="n"/>
      <c r="F135" s="5" t="n"/>
      <c r="G135" s="10">
        <f>IF($A135="","",SUMIF($A$5:$A$300,$A135,$C$5:$C$300))</f>
        <v/>
      </c>
      <c r="H135" s="10">
        <f>IF($A135="","",SUMIF($A$5:$A$300,$A135,$D$5:$D$300))</f>
        <v/>
      </c>
      <c r="I135" s="10">
        <f>IF($A135="","",SUMIF($A$5:$A$300,$A135,$E$5:$E$300))</f>
        <v/>
      </c>
      <c r="J135" s="10">
        <f>IF($A135="","",SUMIF($A$5:$A$300,$A135,$F$5:$F$300))</f>
        <v/>
      </c>
      <c r="K135" s="10">
        <f>IF($A135="","",IF(SUMPRODUCT(($A$5:$A$300=$A135)*(ISNUMBER($D$5:$D$300)+ISNUMBER($E$5:$E$300)))=0,"",H135+I135-J135))</f>
        <v/>
      </c>
      <c r="L135" s="11">
        <f>IF(OR($A135="",K135=""),"",K135-G135)</f>
        <v/>
      </c>
      <c r="M135" s="12">
        <f>IF($A135="","",IF(K135="","not counted yet",IF(ABS(L135)&lt;=$B$3,"Balanced",IF(L135&lt;0,"Short","Over"))))</f>
        <v/>
      </c>
    </row>
    <row r="136">
      <c r="A136" s="13" t="n"/>
      <c r="B136" s="14" t="n"/>
      <c r="C136" s="5" t="n"/>
      <c r="D136" s="5" t="n"/>
      <c r="E136" s="5" t="n"/>
      <c r="F136" s="5" t="n"/>
      <c r="G136" s="10">
        <f>IF($A136="","",SUMIF($A$5:$A$300,$A136,$C$5:$C$300))</f>
        <v/>
      </c>
      <c r="H136" s="10">
        <f>IF($A136="","",SUMIF($A$5:$A$300,$A136,$D$5:$D$300))</f>
        <v/>
      </c>
      <c r="I136" s="10">
        <f>IF($A136="","",SUMIF($A$5:$A$300,$A136,$E$5:$E$300))</f>
        <v/>
      </c>
      <c r="J136" s="10">
        <f>IF($A136="","",SUMIF($A$5:$A$300,$A136,$F$5:$F$300))</f>
        <v/>
      </c>
      <c r="K136" s="10">
        <f>IF($A136="","",IF(SUMPRODUCT(($A$5:$A$300=$A136)*(ISNUMBER($D$5:$D$300)+ISNUMBER($E$5:$E$300)))=0,"",H136+I136-J136))</f>
        <v/>
      </c>
      <c r="L136" s="11">
        <f>IF(OR($A136="",K136=""),"",K136-G136)</f>
        <v/>
      </c>
      <c r="M136" s="12">
        <f>IF($A136="","",IF(K136="","not counted yet",IF(ABS(L136)&lt;=$B$3,"Balanced",IF(L136&lt;0,"Short","Over"))))</f>
        <v/>
      </c>
    </row>
    <row r="137">
      <c r="A137" s="13" t="n"/>
      <c r="B137" s="14" t="n"/>
      <c r="C137" s="5" t="n"/>
      <c r="D137" s="5" t="n"/>
      <c r="E137" s="5" t="n"/>
      <c r="F137" s="5" t="n"/>
      <c r="G137" s="10">
        <f>IF($A137="","",SUMIF($A$5:$A$300,$A137,$C$5:$C$300))</f>
        <v/>
      </c>
      <c r="H137" s="10">
        <f>IF($A137="","",SUMIF($A$5:$A$300,$A137,$D$5:$D$300))</f>
        <v/>
      </c>
      <c r="I137" s="10">
        <f>IF($A137="","",SUMIF($A$5:$A$300,$A137,$E$5:$E$300))</f>
        <v/>
      </c>
      <c r="J137" s="10">
        <f>IF($A137="","",SUMIF($A$5:$A$300,$A137,$F$5:$F$300))</f>
        <v/>
      </c>
      <c r="K137" s="10">
        <f>IF($A137="","",IF(SUMPRODUCT(($A$5:$A$300=$A137)*(ISNUMBER($D$5:$D$300)+ISNUMBER($E$5:$E$300)))=0,"",H137+I137-J137))</f>
        <v/>
      </c>
      <c r="L137" s="11">
        <f>IF(OR($A137="",K137=""),"",K137-G137)</f>
        <v/>
      </c>
      <c r="M137" s="12">
        <f>IF($A137="","",IF(K137="","not counted yet",IF(ABS(L137)&lt;=$B$3,"Balanced",IF(L137&lt;0,"Short","Over"))))</f>
        <v/>
      </c>
    </row>
    <row r="138">
      <c r="A138" s="13" t="n"/>
      <c r="B138" s="14" t="n"/>
      <c r="C138" s="5" t="n"/>
      <c r="D138" s="5" t="n"/>
      <c r="E138" s="5" t="n"/>
      <c r="F138" s="5" t="n"/>
      <c r="G138" s="10">
        <f>IF($A138="","",SUMIF($A$5:$A$300,$A138,$C$5:$C$300))</f>
        <v/>
      </c>
      <c r="H138" s="10">
        <f>IF($A138="","",SUMIF($A$5:$A$300,$A138,$D$5:$D$300))</f>
        <v/>
      </c>
      <c r="I138" s="10">
        <f>IF($A138="","",SUMIF($A$5:$A$300,$A138,$E$5:$E$300))</f>
        <v/>
      </c>
      <c r="J138" s="10">
        <f>IF($A138="","",SUMIF($A$5:$A$300,$A138,$F$5:$F$300))</f>
        <v/>
      </c>
      <c r="K138" s="10">
        <f>IF($A138="","",IF(SUMPRODUCT(($A$5:$A$300=$A138)*(ISNUMBER($D$5:$D$300)+ISNUMBER($E$5:$E$300)))=0,"",H138+I138-J138))</f>
        <v/>
      </c>
      <c r="L138" s="11">
        <f>IF(OR($A138="",K138=""),"",K138-G138)</f>
        <v/>
      </c>
      <c r="M138" s="12">
        <f>IF($A138="","",IF(K138="","not counted yet",IF(ABS(L138)&lt;=$B$3,"Balanced",IF(L138&lt;0,"Short","Over"))))</f>
        <v/>
      </c>
    </row>
    <row r="139">
      <c r="A139" s="13" t="n"/>
      <c r="B139" s="14" t="n"/>
      <c r="C139" s="5" t="n"/>
      <c r="D139" s="5" t="n"/>
      <c r="E139" s="5" t="n"/>
      <c r="F139" s="5" t="n"/>
      <c r="G139" s="10">
        <f>IF($A139="","",SUMIF($A$5:$A$300,$A139,$C$5:$C$300))</f>
        <v/>
      </c>
      <c r="H139" s="10">
        <f>IF($A139="","",SUMIF($A$5:$A$300,$A139,$D$5:$D$300))</f>
        <v/>
      </c>
      <c r="I139" s="10">
        <f>IF($A139="","",SUMIF($A$5:$A$300,$A139,$E$5:$E$300))</f>
        <v/>
      </c>
      <c r="J139" s="10">
        <f>IF($A139="","",SUMIF($A$5:$A$300,$A139,$F$5:$F$300))</f>
        <v/>
      </c>
      <c r="K139" s="10">
        <f>IF($A139="","",IF(SUMPRODUCT(($A$5:$A$300=$A139)*(ISNUMBER($D$5:$D$300)+ISNUMBER($E$5:$E$300)))=0,"",H139+I139-J139))</f>
        <v/>
      </c>
      <c r="L139" s="11">
        <f>IF(OR($A139="",K139=""),"",K139-G139)</f>
        <v/>
      </c>
      <c r="M139" s="12">
        <f>IF($A139="","",IF(K139="","not counted yet",IF(ABS(L139)&lt;=$B$3,"Balanced",IF(L139&lt;0,"Short","Over"))))</f>
        <v/>
      </c>
    </row>
    <row r="140">
      <c r="A140" s="13" t="n"/>
      <c r="B140" s="14" t="n"/>
      <c r="C140" s="5" t="n"/>
      <c r="D140" s="5" t="n"/>
      <c r="E140" s="5" t="n"/>
      <c r="F140" s="5" t="n"/>
      <c r="G140" s="10">
        <f>IF($A140="","",SUMIF($A$5:$A$300,$A140,$C$5:$C$300))</f>
        <v/>
      </c>
      <c r="H140" s="10">
        <f>IF($A140="","",SUMIF($A$5:$A$300,$A140,$D$5:$D$300))</f>
        <v/>
      </c>
      <c r="I140" s="10">
        <f>IF($A140="","",SUMIF($A$5:$A$300,$A140,$E$5:$E$300))</f>
        <v/>
      </c>
      <c r="J140" s="10">
        <f>IF($A140="","",SUMIF($A$5:$A$300,$A140,$F$5:$F$300))</f>
        <v/>
      </c>
      <c r="K140" s="10">
        <f>IF($A140="","",IF(SUMPRODUCT(($A$5:$A$300=$A140)*(ISNUMBER($D$5:$D$300)+ISNUMBER($E$5:$E$300)))=0,"",H140+I140-J140))</f>
        <v/>
      </c>
      <c r="L140" s="11">
        <f>IF(OR($A140="",K140=""),"",K140-G140)</f>
        <v/>
      </c>
      <c r="M140" s="12">
        <f>IF($A140="","",IF(K140="","not counted yet",IF(ABS(L140)&lt;=$B$3,"Balanced",IF(L140&lt;0,"Short","Over"))))</f>
        <v/>
      </c>
    </row>
    <row r="141">
      <c r="A141" s="13" t="n"/>
      <c r="B141" s="14" t="n"/>
      <c r="C141" s="5" t="n"/>
      <c r="D141" s="5" t="n"/>
      <c r="E141" s="5" t="n"/>
      <c r="F141" s="5" t="n"/>
      <c r="G141" s="10">
        <f>IF($A141="","",SUMIF($A$5:$A$300,$A141,$C$5:$C$300))</f>
        <v/>
      </c>
      <c r="H141" s="10">
        <f>IF($A141="","",SUMIF($A$5:$A$300,$A141,$D$5:$D$300))</f>
        <v/>
      </c>
      <c r="I141" s="10">
        <f>IF($A141="","",SUMIF($A$5:$A$300,$A141,$E$5:$E$300))</f>
        <v/>
      </c>
      <c r="J141" s="10">
        <f>IF($A141="","",SUMIF($A$5:$A$300,$A141,$F$5:$F$300))</f>
        <v/>
      </c>
      <c r="K141" s="10">
        <f>IF($A141="","",IF(SUMPRODUCT(($A$5:$A$300=$A141)*(ISNUMBER($D$5:$D$300)+ISNUMBER($E$5:$E$300)))=0,"",H141+I141-J141))</f>
        <v/>
      </c>
      <c r="L141" s="11">
        <f>IF(OR($A141="",K141=""),"",K141-G141)</f>
        <v/>
      </c>
      <c r="M141" s="12">
        <f>IF($A141="","",IF(K141="","not counted yet",IF(ABS(L141)&lt;=$B$3,"Balanced",IF(L141&lt;0,"Short","Over"))))</f>
        <v/>
      </c>
    </row>
    <row r="142">
      <c r="A142" s="13" t="n"/>
      <c r="B142" s="14" t="n"/>
      <c r="C142" s="5" t="n"/>
      <c r="D142" s="5" t="n"/>
      <c r="E142" s="5" t="n"/>
      <c r="F142" s="5" t="n"/>
      <c r="G142" s="10">
        <f>IF($A142="","",SUMIF($A$5:$A$300,$A142,$C$5:$C$300))</f>
        <v/>
      </c>
      <c r="H142" s="10">
        <f>IF($A142="","",SUMIF($A$5:$A$300,$A142,$D$5:$D$300))</f>
        <v/>
      </c>
      <c r="I142" s="10">
        <f>IF($A142="","",SUMIF($A$5:$A$300,$A142,$E$5:$E$300))</f>
        <v/>
      </c>
      <c r="J142" s="10">
        <f>IF($A142="","",SUMIF($A$5:$A$300,$A142,$F$5:$F$300))</f>
        <v/>
      </c>
      <c r="K142" s="10">
        <f>IF($A142="","",IF(SUMPRODUCT(($A$5:$A$300=$A142)*(ISNUMBER($D$5:$D$300)+ISNUMBER($E$5:$E$300)))=0,"",H142+I142-J142))</f>
        <v/>
      </c>
      <c r="L142" s="11">
        <f>IF(OR($A142="",K142=""),"",K142-G142)</f>
        <v/>
      </c>
      <c r="M142" s="12">
        <f>IF($A142="","",IF(K142="","not counted yet",IF(ABS(L142)&lt;=$B$3,"Balanced",IF(L142&lt;0,"Short","Over"))))</f>
        <v/>
      </c>
    </row>
    <row r="143">
      <c r="A143" s="13" t="n"/>
      <c r="B143" s="14" t="n"/>
      <c r="C143" s="5" t="n"/>
      <c r="D143" s="5" t="n"/>
      <c r="E143" s="5" t="n"/>
      <c r="F143" s="5" t="n"/>
      <c r="G143" s="10">
        <f>IF($A143="","",SUMIF($A$5:$A$300,$A143,$C$5:$C$300))</f>
        <v/>
      </c>
      <c r="H143" s="10">
        <f>IF($A143="","",SUMIF($A$5:$A$300,$A143,$D$5:$D$300))</f>
        <v/>
      </c>
      <c r="I143" s="10">
        <f>IF($A143="","",SUMIF($A$5:$A$300,$A143,$E$5:$E$300))</f>
        <v/>
      </c>
      <c r="J143" s="10">
        <f>IF($A143="","",SUMIF($A$5:$A$300,$A143,$F$5:$F$300))</f>
        <v/>
      </c>
      <c r="K143" s="10">
        <f>IF($A143="","",IF(SUMPRODUCT(($A$5:$A$300=$A143)*(ISNUMBER($D$5:$D$300)+ISNUMBER($E$5:$E$300)))=0,"",H143+I143-J143))</f>
        <v/>
      </c>
      <c r="L143" s="11">
        <f>IF(OR($A143="",K143=""),"",K143-G143)</f>
        <v/>
      </c>
      <c r="M143" s="12">
        <f>IF($A143="","",IF(K143="","not counted yet",IF(ABS(L143)&lt;=$B$3,"Balanced",IF(L143&lt;0,"Short","Over"))))</f>
        <v/>
      </c>
    </row>
    <row r="144">
      <c r="A144" s="13" t="n"/>
      <c r="B144" s="14" t="n"/>
      <c r="C144" s="5" t="n"/>
      <c r="D144" s="5" t="n"/>
      <c r="E144" s="5" t="n"/>
      <c r="F144" s="5" t="n"/>
      <c r="G144" s="10">
        <f>IF($A144="","",SUMIF($A$5:$A$300,$A144,$C$5:$C$300))</f>
        <v/>
      </c>
      <c r="H144" s="10">
        <f>IF($A144="","",SUMIF($A$5:$A$300,$A144,$D$5:$D$300))</f>
        <v/>
      </c>
      <c r="I144" s="10">
        <f>IF($A144="","",SUMIF($A$5:$A$300,$A144,$E$5:$E$300))</f>
        <v/>
      </c>
      <c r="J144" s="10">
        <f>IF($A144="","",SUMIF($A$5:$A$300,$A144,$F$5:$F$300))</f>
        <v/>
      </c>
      <c r="K144" s="10">
        <f>IF($A144="","",IF(SUMPRODUCT(($A$5:$A$300=$A144)*(ISNUMBER($D$5:$D$300)+ISNUMBER($E$5:$E$300)))=0,"",H144+I144-J144))</f>
        <v/>
      </c>
      <c r="L144" s="11">
        <f>IF(OR($A144="",K144=""),"",K144-G144)</f>
        <v/>
      </c>
      <c r="M144" s="12">
        <f>IF($A144="","",IF(K144="","not counted yet",IF(ABS(L144)&lt;=$B$3,"Balanced",IF(L144&lt;0,"Short","Over"))))</f>
        <v/>
      </c>
    </row>
    <row r="145">
      <c r="A145" s="13" t="n"/>
      <c r="B145" s="14" t="n"/>
      <c r="C145" s="5" t="n"/>
      <c r="D145" s="5" t="n"/>
      <c r="E145" s="5" t="n"/>
      <c r="F145" s="5" t="n"/>
      <c r="G145" s="10">
        <f>IF($A145="","",SUMIF($A$5:$A$300,$A145,$C$5:$C$300))</f>
        <v/>
      </c>
      <c r="H145" s="10">
        <f>IF($A145="","",SUMIF($A$5:$A$300,$A145,$D$5:$D$300))</f>
        <v/>
      </c>
      <c r="I145" s="10">
        <f>IF($A145="","",SUMIF($A$5:$A$300,$A145,$E$5:$E$300))</f>
        <v/>
      </c>
      <c r="J145" s="10">
        <f>IF($A145="","",SUMIF($A$5:$A$300,$A145,$F$5:$F$300))</f>
        <v/>
      </c>
      <c r="K145" s="10">
        <f>IF($A145="","",IF(SUMPRODUCT(($A$5:$A$300=$A145)*(ISNUMBER($D$5:$D$300)+ISNUMBER($E$5:$E$300)))=0,"",H145+I145-J145))</f>
        <v/>
      </c>
      <c r="L145" s="11">
        <f>IF(OR($A145="",K145=""),"",K145-G145)</f>
        <v/>
      </c>
      <c r="M145" s="12">
        <f>IF($A145="","",IF(K145="","not counted yet",IF(ABS(L145)&lt;=$B$3,"Balanced",IF(L145&lt;0,"Short","Over"))))</f>
        <v/>
      </c>
    </row>
    <row r="146">
      <c r="A146" s="13" t="n"/>
      <c r="B146" s="14" t="n"/>
      <c r="C146" s="5" t="n"/>
      <c r="D146" s="5" t="n"/>
      <c r="E146" s="5" t="n"/>
      <c r="F146" s="5" t="n"/>
      <c r="G146" s="10">
        <f>IF($A146="","",SUMIF($A$5:$A$300,$A146,$C$5:$C$300))</f>
        <v/>
      </c>
      <c r="H146" s="10">
        <f>IF($A146="","",SUMIF($A$5:$A$300,$A146,$D$5:$D$300))</f>
        <v/>
      </c>
      <c r="I146" s="10">
        <f>IF($A146="","",SUMIF($A$5:$A$300,$A146,$E$5:$E$300))</f>
        <v/>
      </c>
      <c r="J146" s="10">
        <f>IF($A146="","",SUMIF($A$5:$A$300,$A146,$F$5:$F$300))</f>
        <v/>
      </c>
      <c r="K146" s="10">
        <f>IF($A146="","",IF(SUMPRODUCT(($A$5:$A$300=$A146)*(ISNUMBER($D$5:$D$300)+ISNUMBER($E$5:$E$300)))=0,"",H146+I146-J146))</f>
        <v/>
      </c>
      <c r="L146" s="11">
        <f>IF(OR($A146="",K146=""),"",K146-G146)</f>
        <v/>
      </c>
      <c r="M146" s="12">
        <f>IF($A146="","",IF(K146="","not counted yet",IF(ABS(L146)&lt;=$B$3,"Balanced",IF(L146&lt;0,"Short","Over"))))</f>
        <v/>
      </c>
    </row>
    <row r="147">
      <c r="A147" s="13" t="n"/>
      <c r="B147" s="14" t="n"/>
      <c r="C147" s="5" t="n"/>
      <c r="D147" s="5" t="n"/>
      <c r="E147" s="5" t="n"/>
      <c r="F147" s="5" t="n"/>
      <c r="G147" s="10">
        <f>IF($A147="","",SUMIF($A$5:$A$300,$A147,$C$5:$C$300))</f>
        <v/>
      </c>
      <c r="H147" s="10">
        <f>IF($A147="","",SUMIF($A$5:$A$300,$A147,$D$5:$D$300))</f>
        <v/>
      </c>
      <c r="I147" s="10">
        <f>IF($A147="","",SUMIF($A$5:$A$300,$A147,$E$5:$E$300))</f>
        <v/>
      </c>
      <c r="J147" s="10">
        <f>IF($A147="","",SUMIF($A$5:$A$300,$A147,$F$5:$F$300))</f>
        <v/>
      </c>
      <c r="K147" s="10">
        <f>IF($A147="","",IF(SUMPRODUCT(($A$5:$A$300=$A147)*(ISNUMBER($D$5:$D$300)+ISNUMBER($E$5:$E$300)))=0,"",H147+I147-J147))</f>
        <v/>
      </c>
      <c r="L147" s="11">
        <f>IF(OR($A147="",K147=""),"",K147-G147)</f>
        <v/>
      </c>
      <c r="M147" s="12">
        <f>IF($A147="","",IF(K147="","not counted yet",IF(ABS(L147)&lt;=$B$3,"Balanced",IF(L147&lt;0,"Short","Over"))))</f>
        <v/>
      </c>
    </row>
    <row r="148">
      <c r="A148" s="13" t="n"/>
      <c r="B148" s="14" t="n"/>
      <c r="C148" s="5" t="n"/>
      <c r="D148" s="5" t="n"/>
      <c r="E148" s="5" t="n"/>
      <c r="F148" s="5" t="n"/>
      <c r="G148" s="10">
        <f>IF($A148="","",SUMIF($A$5:$A$300,$A148,$C$5:$C$300))</f>
        <v/>
      </c>
      <c r="H148" s="10">
        <f>IF($A148="","",SUMIF($A$5:$A$300,$A148,$D$5:$D$300))</f>
        <v/>
      </c>
      <c r="I148" s="10">
        <f>IF($A148="","",SUMIF($A$5:$A$300,$A148,$E$5:$E$300))</f>
        <v/>
      </c>
      <c r="J148" s="10">
        <f>IF($A148="","",SUMIF($A$5:$A$300,$A148,$F$5:$F$300))</f>
        <v/>
      </c>
      <c r="K148" s="10">
        <f>IF($A148="","",IF(SUMPRODUCT(($A$5:$A$300=$A148)*(ISNUMBER($D$5:$D$300)+ISNUMBER($E$5:$E$300)))=0,"",H148+I148-J148))</f>
        <v/>
      </c>
      <c r="L148" s="11">
        <f>IF(OR($A148="",K148=""),"",K148-G148)</f>
        <v/>
      </c>
      <c r="M148" s="12">
        <f>IF($A148="","",IF(K148="","not counted yet",IF(ABS(L148)&lt;=$B$3,"Balanced",IF(L148&lt;0,"Short","Over"))))</f>
        <v/>
      </c>
    </row>
    <row r="149">
      <c r="A149" s="13" t="n"/>
      <c r="B149" s="14" t="n"/>
      <c r="C149" s="5" t="n"/>
      <c r="D149" s="5" t="n"/>
      <c r="E149" s="5" t="n"/>
      <c r="F149" s="5" t="n"/>
      <c r="G149" s="10">
        <f>IF($A149="","",SUMIF($A$5:$A$300,$A149,$C$5:$C$300))</f>
        <v/>
      </c>
      <c r="H149" s="10">
        <f>IF($A149="","",SUMIF($A$5:$A$300,$A149,$D$5:$D$300))</f>
        <v/>
      </c>
      <c r="I149" s="10">
        <f>IF($A149="","",SUMIF($A$5:$A$300,$A149,$E$5:$E$300))</f>
        <v/>
      </c>
      <c r="J149" s="10">
        <f>IF($A149="","",SUMIF($A$5:$A$300,$A149,$F$5:$F$300))</f>
        <v/>
      </c>
      <c r="K149" s="10">
        <f>IF($A149="","",IF(SUMPRODUCT(($A$5:$A$300=$A149)*(ISNUMBER($D$5:$D$300)+ISNUMBER($E$5:$E$300)))=0,"",H149+I149-J149))</f>
        <v/>
      </c>
      <c r="L149" s="11">
        <f>IF(OR($A149="",K149=""),"",K149-G149)</f>
        <v/>
      </c>
      <c r="M149" s="12">
        <f>IF($A149="","",IF(K149="","not counted yet",IF(ABS(L149)&lt;=$B$3,"Balanced",IF(L149&lt;0,"Short","Over"))))</f>
        <v/>
      </c>
    </row>
    <row r="150">
      <c r="A150" s="13" t="n"/>
      <c r="B150" s="14" t="n"/>
      <c r="C150" s="5" t="n"/>
      <c r="D150" s="5" t="n"/>
      <c r="E150" s="5" t="n"/>
      <c r="F150" s="5" t="n"/>
      <c r="G150" s="10">
        <f>IF($A150="","",SUMIF($A$5:$A$300,$A150,$C$5:$C$300))</f>
        <v/>
      </c>
      <c r="H150" s="10">
        <f>IF($A150="","",SUMIF($A$5:$A$300,$A150,$D$5:$D$300))</f>
        <v/>
      </c>
      <c r="I150" s="10">
        <f>IF($A150="","",SUMIF($A$5:$A$300,$A150,$E$5:$E$300))</f>
        <v/>
      </c>
      <c r="J150" s="10">
        <f>IF($A150="","",SUMIF($A$5:$A$300,$A150,$F$5:$F$300))</f>
        <v/>
      </c>
      <c r="K150" s="10">
        <f>IF($A150="","",IF(SUMPRODUCT(($A$5:$A$300=$A150)*(ISNUMBER($D$5:$D$300)+ISNUMBER($E$5:$E$300)))=0,"",H150+I150-J150))</f>
        <v/>
      </c>
      <c r="L150" s="11">
        <f>IF(OR($A150="",K150=""),"",K150-G150)</f>
        <v/>
      </c>
      <c r="M150" s="12">
        <f>IF($A150="","",IF(K150="","not counted yet",IF(ABS(L150)&lt;=$B$3,"Balanced",IF(L150&lt;0,"Short","Over"))))</f>
        <v/>
      </c>
    </row>
    <row r="151">
      <c r="A151" s="13" t="n"/>
      <c r="B151" s="14" t="n"/>
      <c r="C151" s="5" t="n"/>
      <c r="D151" s="5" t="n"/>
      <c r="E151" s="5" t="n"/>
      <c r="F151" s="5" t="n"/>
      <c r="G151" s="10">
        <f>IF($A151="","",SUMIF($A$5:$A$300,$A151,$C$5:$C$300))</f>
        <v/>
      </c>
      <c r="H151" s="10">
        <f>IF($A151="","",SUMIF($A$5:$A$300,$A151,$D$5:$D$300))</f>
        <v/>
      </c>
      <c r="I151" s="10">
        <f>IF($A151="","",SUMIF($A$5:$A$300,$A151,$E$5:$E$300))</f>
        <v/>
      </c>
      <c r="J151" s="10">
        <f>IF($A151="","",SUMIF($A$5:$A$300,$A151,$F$5:$F$300))</f>
        <v/>
      </c>
      <c r="K151" s="10">
        <f>IF($A151="","",IF(SUMPRODUCT(($A$5:$A$300=$A151)*(ISNUMBER($D$5:$D$300)+ISNUMBER($E$5:$E$300)))=0,"",H151+I151-J151))</f>
        <v/>
      </c>
      <c r="L151" s="11">
        <f>IF(OR($A151="",K151=""),"",K151-G151)</f>
        <v/>
      </c>
      <c r="M151" s="12">
        <f>IF($A151="","",IF(K151="","not counted yet",IF(ABS(L151)&lt;=$B$3,"Balanced",IF(L151&lt;0,"Short","Over"))))</f>
        <v/>
      </c>
    </row>
    <row r="152">
      <c r="A152" s="13" t="n"/>
      <c r="B152" s="14" t="n"/>
      <c r="C152" s="5" t="n"/>
      <c r="D152" s="5" t="n"/>
      <c r="E152" s="5" t="n"/>
      <c r="F152" s="5" t="n"/>
      <c r="G152" s="10">
        <f>IF($A152="","",SUMIF($A$5:$A$300,$A152,$C$5:$C$300))</f>
        <v/>
      </c>
      <c r="H152" s="10">
        <f>IF($A152="","",SUMIF($A$5:$A$300,$A152,$D$5:$D$300))</f>
        <v/>
      </c>
      <c r="I152" s="10">
        <f>IF($A152="","",SUMIF($A$5:$A$300,$A152,$E$5:$E$300))</f>
        <v/>
      </c>
      <c r="J152" s="10">
        <f>IF($A152="","",SUMIF($A$5:$A$300,$A152,$F$5:$F$300))</f>
        <v/>
      </c>
      <c r="K152" s="10">
        <f>IF($A152="","",IF(SUMPRODUCT(($A$5:$A$300=$A152)*(ISNUMBER($D$5:$D$300)+ISNUMBER($E$5:$E$300)))=0,"",H152+I152-J152))</f>
        <v/>
      </c>
      <c r="L152" s="11">
        <f>IF(OR($A152="",K152=""),"",K152-G152)</f>
        <v/>
      </c>
      <c r="M152" s="12">
        <f>IF($A152="","",IF(K152="","not counted yet",IF(ABS(L152)&lt;=$B$3,"Balanced",IF(L152&lt;0,"Short","Over"))))</f>
        <v/>
      </c>
    </row>
    <row r="153">
      <c r="A153" s="13" t="n"/>
      <c r="B153" s="14" t="n"/>
      <c r="C153" s="5" t="n"/>
      <c r="D153" s="5" t="n"/>
      <c r="E153" s="5" t="n"/>
      <c r="F153" s="5" t="n"/>
      <c r="G153" s="10">
        <f>IF($A153="","",SUMIF($A$5:$A$300,$A153,$C$5:$C$300))</f>
        <v/>
      </c>
      <c r="H153" s="10">
        <f>IF($A153="","",SUMIF($A$5:$A$300,$A153,$D$5:$D$300))</f>
        <v/>
      </c>
      <c r="I153" s="10">
        <f>IF($A153="","",SUMIF($A$5:$A$300,$A153,$E$5:$E$300))</f>
        <v/>
      </c>
      <c r="J153" s="10">
        <f>IF($A153="","",SUMIF($A$5:$A$300,$A153,$F$5:$F$300))</f>
        <v/>
      </c>
      <c r="K153" s="10">
        <f>IF($A153="","",IF(SUMPRODUCT(($A$5:$A$300=$A153)*(ISNUMBER($D$5:$D$300)+ISNUMBER($E$5:$E$300)))=0,"",H153+I153-J153))</f>
        <v/>
      </c>
      <c r="L153" s="11">
        <f>IF(OR($A153="",K153=""),"",K153-G153)</f>
        <v/>
      </c>
      <c r="M153" s="12">
        <f>IF($A153="","",IF(K153="","not counted yet",IF(ABS(L153)&lt;=$B$3,"Balanced",IF(L153&lt;0,"Short","Over"))))</f>
        <v/>
      </c>
    </row>
    <row r="154">
      <c r="A154" s="13" t="n"/>
      <c r="B154" s="14" t="n"/>
      <c r="C154" s="5" t="n"/>
      <c r="D154" s="5" t="n"/>
      <c r="E154" s="5" t="n"/>
      <c r="F154" s="5" t="n"/>
      <c r="G154" s="10">
        <f>IF($A154="","",SUMIF($A$5:$A$300,$A154,$C$5:$C$300))</f>
        <v/>
      </c>
      <c r="H154" s="10">
        <f>IF($A154="","",SUMIF($A$5:$A$300,$A154,$D$5:$D$300))</f>
        <v/>
      </c>
      <c r="I154" s="10">
        <f>IF($A154="","",SUMIF($A$5:$A$300,$A154,$E$5:$E$300))</f>
        <v/>
      </c>
      <c r="J154" s="10">
        <f>IF($A154="","",SUMIF($A$5:$A$300,$A154,$F$5:$F$300))</f>
        <v/>
      </c>
      <c r="K154" s="10">
        <f>IF($A154="","",IF(SUMPRODUCT(($A$5:$A$300=$A154)*(ISNUMBER($D$5:$D$300)+ISNUMBER($E$5:$E$300)))=0,"",H154+I154-J154))</f>
        <v/>
      </c>
      <c r="L154" s="11">
        <f>IF(OR($A154="",K154=""),"",K154-G154)</f>
        <v/>
      </c>
      <c r="M154" s="12">
        <f>IF($A154="","",IF(K154="","not counted yet",IF(ABS(L154)&lt;=$B$3,"Balanced",IF(L154&lt;0,"Short","Over"))))</f>
        <v/>
      </c>
    </row>
    <row r="155">
      <c r="A155" s="13" t="n"/>
      <c r="B155" s="14" t="n"/>
      <c r="C155" s="5" t="n"/>
      <c r="D155" s="5" t="n"/>
      <c r="E155" s="5" t="n"/>
      <c r="F155" s="5" t="n"/>
      <c r="G155" s="10">
        <f>IF($A155="","",SUMIF($A$5:$A$300,$A155,$C$5:$C$300))</f>
        <v/>
      </c>
      <c r="H155" s="10">
        <f>IF($A155="","",SUMIF($A$5:$A$300,$A155,$D$5:$D$300))</f>
        <v/>
      </c>
      <c r="I155" s="10">
        <f>IF($A155="","",SUMIF($A$5:$A$300,$A155,$E$5:$E$300))</f>
        <v/>
      </c>
      <c r="J155" s="10">
        <f>IF($A155="","",SUMIF($A$5:$A$300,$A155,$F$5:$F$300))</f>
        <v/>
      </c>
      <c r="K155" s="10">
        <f>IF($A155="","",IF(SUMPRODUCT(($A$5:$A$300=$A155)*(ISNUMBER($D$5:$D$300)+ISNUMBER($E$5:$E$300)))=0,"",H155+I155-J155))</f>
        <v/>
      </c>
      <c r="L155" s="11">
        <f>IF(OR($A155="",K155=""),"",K155-G155)</f>
        <v/>
      </c>
      <c r="M155" s="12">
        <f>IF($A155="","",IF(K155="","not counted yet",IF(ABS(L155)&lt;=$B$3,"Balanced",IF(L155&lt;0,"Short","Over"))))</f>
        <v/>
      </c>
    </row>
    <row r="156">
      <c r="A156" s="13" t="n"/>
      <c r="B156" s="14" t="n"/>
      <c r="C156" s="5" t="n"/>
      <c r="D156" s="5" t="n"/>
      <c r="E156" s="5" t="n"/>
      <c r="F156" s="5" t="n"/>
      <c r="G156" s="10">
        <f>IF($A156="","",SUMIF($A$5:$A$300,$A156,$C$5:$C$300))</f>
        <v/>
      </c>
      <c r="H156" s="10">
        <f>IF($A156="","",SUMIF($A$5:$A$300,$A156,$D$5:$D$300))</f>
        <v/>
      </c>
      <c r="I156" s="10">
        <f>IF($A156="","",SUMIF($A$5:$A$300,$A156,$E$5:$E$300))</f>
        <v/>
      </c>
      <c r="J156" s="10">
        <f>IF($A156="","",SUMIF($A$5:$A$300,$A156,$F$5:$F$300))</f>
        <v/>
      </c>
      <c r="K156" s="10">
        <f>IF($A156="","",IF(SUMPRODUCT(($A$5:$A$300=$A156)*(ISNUMBER($D$5:$D$300)+ISNUMBER($E$5:$E$300)))=0,"",H156+I156-J156))</f>
        <v/>
      </c>
      <c r="L156" s="11">
        <f>IF(OR($A156="",K156=""),"",K156-G156)</f>
        <v/>
      </c>
      <c r="M156" s="12">
        <f>IF($A156="","",IF(K156="","not counted yet",IF(ABS(L156)&lt;=$B$3,"Balanced",IF(L156&lt;0,"Short","Over"))))</f>
        <v/>
      </c>
    </row>
    <row r="157">
      <c r="A157" s="13" t="n"/>
      <c r="B157" s="14" t="n"/>
      <c r="C157" s="5" t="n"/>
      <c r="D157" s="5" t="n"/>
      <c r="E157" s="5" t="n"/>
      <c r="F157" s="5" t="n"/>
      <c r="G157" s="10">
        <f>IF($A157="","",SUMIF($A$5:$A$300,$A157,$C$5:$C$300))</f>
        <v/>
      </c>
      <c r="H157" s="10">
        <f>IF($A157="","",SUMIF($A$5:$A$300,$A157,$D$5:$D$300))</f>
        <v/>
      </c>
      <c r="I157" s="10">
        <f>IF($A157="","",SUMIF($A$5:$A$300,$A157,$E$5:$E$300))</f>
        <v/>
      </c>
      <c r="J157" s="10">
        <f>IF($A157="","",SUMIF($A$5:$A$300,$A157,$F$5:$F$300))</f>
        <v/>
      </c>
      <c r="K157" s="10">
        <f>IF($A157="","",IF(SUMPRODUCT(($A$5:$A$300=$A157)*(ISNUMBER($D$5:$D$300)+ISNUMBER($E$5:$E$300)))=0,"",H157+I157-J157))</f>
        <v/>
      </c>
      <c r="L157" s="11">
        <f>IF(OR($A157="",K157=""),"",K157-G157)</f>
        <v/>
      </c>
      <c r="M157" s="12">
        <f>IF($A157="","",IF(K157="","not counted yet",IF(ABS(L157)&lt;=$B$3,"Balanced",IF(L157&lt;0,"Short","Over"))))</f>
        <v/>
      </c>
    </row>
    <row r="158">
      <c r="A158" s="13" t="n"/>
      <c r="B158" s="14" t="n"/>
      <c r="C158" s="5" t="n"/>
      <c r="D158" s="5" t="n"/>
      <c r="E158" s="5" t="n"/>
      <c r="F158" s="5" t="n"/>
      <c r="G158" s="10">
        <f>IF($A158="","",SUMIF($A$5:$A$300,$A158,$C$5:$C$300))</f>
        <v/>
      </c>
      <c r="H158" s="10">
        <f>IF($A158="","",SUMIF($A$5:$A$300,$A158,$D$5:$D$300))</f>
        <v/>
      </c>
      <c r="I158" s="10">
        <f>IF($A158="","",SUMIF($A$5:$A$300,$A158,$E$5:$E$300))</f>
        <v/>
      </c>
      <c r="J158" s="10">
        <f>IF($A158="","",SUMIF($A$5:$A$300,$A158,$F$5:$F$300))</f>
        <v/>
      </c>
      <c r="K158" s="10">
        <f>IF($A158="","",IF(SUMPRODUCT(($A$5:$A$300=$A158)*(ISNUMBER($D$5:$D$300)+ISNUMBER($E$5:$E$300)))=0,"",H158+I158-J158))</f>
        <v/>
      </c>
      <c r="L158" s="11">
        <f>IF(OR($A158="",K158=""),"",K158-G158)</f>
        <v/>
      </c>
      <c r="M158" s="12">
        <f>IF($A158="","",IF(K158="","not counted yet",IF(ABS(L158)&lt;=$B$3,"Balanced",IF(L158&lt;0,"Short","Over"))))</f>
        <v/>
      </c>
    </row>
    <row r="159">
      <c r="A159" s="13" t="n"/>
      <c r="B159" s="14" t="n"/>
      <c r="C159" s="5" t="n"/>
      <c r="D159" s="5" t="n"/>
      <c r="E159" s="5" t="n"/>
      <c r="F159" s="5" t="n"/>
      <c r="G159" s="10">
        <f>IF($A159="","",SUMIF($A$5:$A$300,$A159,$C$5:$C$300))</f>
        <v/>
      </c>
      <c r="H159" s="10">
        <f>IF($A159="","",SUMIF($A$5:$A$300,$A159,$D$5:$D$300))</f>
        <v/>
      </c>
      <c r="I159" s="10">
        <f>IF($A159="","",SUMIF($A$5:$A$300,$A159,$E$5:$E$300))</f>
        <v/>
      </c>
      <c r="J159" s="10">
        <f>IF($A159="","",SUMIF($A$5:$A$300,$A159,$F$5:$F$300))</f>
        <v/>
      </c>
      <c r="K159" s="10">
        <f>IF($A159="","",IF(SUMPRODUCT(($A$5:$A$300=$A159)*(ISNUMBER($D$5:$D$300)+ISNUMBER($E$5:$E$300)))=0,"",H159+I159-J159))</f>
        <v/>
      </c>
      <c r="L159" s="11">
        <f>IF(OR($A159="",K159=""),"",K159-G159)</f>
        <v/>
      </c>
      <c r="M159" s="12">
        <f>IF($A159="","",IF(K159="","not counted yet",IF(ABS(L159)&lt;=$B$3,"Balanced",IF(L159&lt;0,"Short","Over"))))</f>
        <v/>
      </c>
    </row>
    <row r="160">
      <c r="A160" s="13" t="n"/>
      <c r="B160" s="14" t="n"/>
      <c r="C160" s="5" t="n"/>
      <c r="D160" s="5" t="n"/>
      <c r="E160" s="5" t="n"/>
      <c r="F160" s="5" t="n"/>
      <c r="G160" s="10">
        <f>IF($A160="","",SUMIF($A$5:$A$300,$A160,$C$5:$C$300))</f>
        <v/>
      </c>
      <c r="H160" s="10">
        <f>IF($A160="","",SUMIF($A$5:$A$300,$A160,$D$5:$D$300))</f>
        <v/>
      </c>
      <c r="I160" s="10">
        <f>IF($A160="","",SUMIF($A$5:$A$300,$A160,$E$5:$E$300))</f>
        <v/>
      </c>
      <c r="J160" s="10">
        <f>IF($A160="","",SUMIF($A$5:$A$300,$A160,$F$5:$F$300))</f>
        <v/>
      </c>
      <c r="K160" s="10">
        <f>IF($A160="","",IF(SUMPRODUCT(($A$5:$A$300=$A160)*(ISNUMBER($D$5:$D$300)+ISNUMBER($E$5:$E$300)))=0,"",H160+I160-J160))</f>
        <v/>
      </c>
      <c r="L160" s="11">
        <f>IF(OR($A160="",K160=""),"",K160-G160)</f>
        <v/>
      </c>
      <c r="M160" s="12">
        <f>IF($A160="","",IF(K160="","not counted yet",IF(ABS(L160)&lt;=$B$3,"Balanced",IF(L160&lt;0,"Short","Over"))))</f>
        <v/>
      </c>
    </row>
    <row r="161">
      <c r="A161" s="13" t="n"/>
      <c r="B161" s="14" t="n"/>
      <c r="C161" s="5" t="n"/>
      <c r="D161" s="5" t="n"/>
      <c r="E161" s="5" t="n"/>
      <c r="F161" s="5" t="n"/>
      <c r="G161" s="10">
        <f>IF($A161="","",SUMIF($A$5:$A$300,$A161,$C$5:$C$300))</f>
        <v/>
      </c>
      <c r="H161" s="10">
        <f>IF($A161="","",SUMIF($A$5:$A$300,$A161,$D$5:$D$300))</f>
        <v/>
      </c>
      <c r="I161" s="10">
        <f>IF($A161="","",SUMIF($A$5:$A$300,$A161,$E$5:$E$300))</f>
        <v/>
      </c>
      <c r="J161" s="10">
        <f>IF($A161="","",SUMIF($A$5:$A$300,$A161,$F$5:$F$300))</f>
        <v/>
      </c>
      <c r="K161" s="10">
        <f>IF($A161="","",IF(SUMPRODUCT(($A$5:$A$300=$A161)*(ISNUMBER($D$5:$D$300)+ISNUMBER($E$5:$E$300)))=0,"",H161+I161-J161))</f>
        <v/>
      </c>
      <c r="L161" s="11">
        <f>IF(OR($A161="",K161=""),"",K161-G161)</f>
        <v/>
      </c>
      <c r="M161" s="12">
        <f>IF($A161="","",IF(K161="","not counted yet",IF(ABS(L161)&lt;=$B$3,"Balanced",IF(L161&lt;0,"Short","Over"))))</f>
        <v/>
      </c>
    </row>
    <row r="162">
      <c r="A162" s="13" t="n"/>
      <c r="B162" s="14" t="n"/>
      <c r="C162" s="5" t="n"/>
      <c r="D162" s="5" t="n"/>
      <c r="E162" s="5" t="n"/>
      <c r="F162" s="5" t="n"/>
      <c r="G162" s="10">
        <f>IF($A162="","",SUMIF($A$5:$A$300,$A162,$C$5:$C$300))</f>
        <v/>
      </c>
      <c r="H162" s="10">
        <f>IF($A162="","",SUMIF($A$5:$A$300,$A162,$D$5:$D$300))</f>
        <v/>
      </c>
      <c r="I162" s="10">
        <f>IF($A162="","",SUMIF($A$5:$A$300,$A162,$E$5:$E$300))</f>
        <v/>
      </c>
      <c r="J162" s="10">
        <f>IF($A162="","",SUMIF($A$5:$A$300,$A162,$F$5:$F$300))</f>
        <v/>
      </c>
      <c r="K162" s="10">
        <f>IF($A162="","",IF(SUMPRODUCT(($A$5:$A$300=$A162)*(ISNUMBER($D$5:$D$300)+ISNUMBER($E$5:$E$300)))=0,"",H162+I162-J162))</f>
        <v/>
      </c>
      <c r="L162" s="11">
        <f>IF(OR($A162="",K162=""),"",K162-G162)</f>
        <v/>
      </c>
      <c r="M162" s="12">
        <f>IF($A162="","",IF(K162="","not counted yet",IF(ABS(L162)&lt;=$B$3,"Balanced",IF(L162&lt;0,"Short","Over"))))</f>
        <v/>
      </c>
    </row>
    <row r="163">
      <c r="A163" s="13" t="n"/>
      <c r="B163" s="14" t="n"/>
      <c r="C163" s="5" t="n"/>
      <c r="D163" s="5" t="n"/>
      <c r="E163" s="5" t="n"/>
      <c r="F163" s="5" t="n"/>
      <c r="G163" s="10">
        <f>IF($A163="","",SUMIF($A$5:$A$300,$A163,$C$5:$C$300))</f>
        <v/>
      </c>
      <c r="H163" s="10">
        <f>IF($A163="","",SUMIF($A$5:$A$300,$A163,$D$5:$D$300))</f>
        <v/>
      </c>
      <c r="I163" s="10">
        <f>IF($A163="","",SUMIF($A$5:$A$300,$A163,$E$5:$E$300))</f>
        <v/>
      </c>
      <c r="J163" s="10">
        <f>IF($A163="","",SUMIF($A$5:$A$300,$A163,$F$5:$F$300))</f>
        <v/>
      </c>
      <c r="K163" s="10">
        <f>IF($A163="","",IF(SUMPRODUCT(($A$5:$A$300=$A163)*(ISNUMBER($D$5:$D$300)+ISNUMBER($E$5:$E$300)))=0,"",H163+I163-J163))</f>
        <v/>
      </c>
      <c r="L163" s="11">
        <f>IF(OR($A163="",K163=""),"",K163-G163)</f>
        <v/>
      </c>
      <c r="M163" s="12">
        <f>IF($A163="","",IF(K163="","not counted yet",IF(ABS(L163)&lt;=$B$3,"Balanced",IF(L163&lt;0,"Short","Over"))))</f>
        <v/>
      </c>
    </row>
    <row r="164">
      <c r="A164" s="13" t="n"/>
      <c r="B164" s="14" t="n"/>
      <c r="C164" s="5" t="n"/>
      <c r="D164" s="5" t="n"/>
      <c r="E164" s="5" t="n"/>
      <c r="F164" s="5" t="n"/>
      <c r="G164" s="10">
        <f>IF($A164="","",SUMIF($A$5:$A$300,$A164,$C$5:$C$300))</f>
        <v/>
      </c>
      <c r="H164" s="10">
        <f>IF($A164="","",SUMIF($A$5:$A$300,$A164,$D$5:$D$300))</f>
        <v/>
      </c>
      <c r="I164" s="10">
        <f>IF($A164="","",SUMIF($A$5:$A$300,$A164,$E$5:$E$300))</f>
        <v/>
      </c>
      <c r="J164" s="10">
        <f>IF($A164="","",SUMIF($A$5:$A$300,$A164,$F$5:$F$300))</f>
        <v/>
      </c>
      <c r="K164" s="10">
        <f>IF($A164="","",IF(SUMPRODUCT(($A$5:$A$300=$A164)*(ISNUMBER($D$5:$D$300)+ISNUMBER($E$5:$E$300)))=0,"",H164+I164-J164))</f>
        <v/>
      </c>
      <c r="L164" s="11">
        <f>IF(OR($A164="",K164=""),"",K164-G164)</f>
        <v/>
      </c>
      <c r="M164" s="12">
        <f>IF($A164="","",IF(K164="","not counted yet",IF(ABS(L164)&lt;=$B$3,"Balanced",IF(L164&lt;0,"Short","Over"))))</f>
        <v/>
      </c>
    </row>
    <row r="165">
      <c r="A165" s="13" t="n"/>
      <c r="B165" s="14" t="n"/>
      <c r="C165" s="5" t="n"/>
      <c r="D165" s="5" t="n"/>
      <c r="E165" s="5" t="n"/>
      <c r="F165" s="5" t="n"/>
      <c r="G165" s="10">
        <f>IF($A165="","",SUMIF($A$5:$A$300,$A165,$C$5:$C$300))</f>
        <v/>
      </c>
      <c r="H165" s="10">
        <f>IF($A165="","",SUMIF($A$5:$A$300,$A165,$D$5:$D$300))</f>
        <v/>
      </c>
      <c r="I165" s="10">
        <f>IF($A165="","",SUMIF($A$5:$A$300,$A165,$E$5:$E$300))</f>
        <v/>
      </c>
      <c r="J165" s="10">
        <f>IF($A165="","",SUMIF($A$5:$A$300,$A165,$F$5:$F$300))</f>
        <v/>
      </c>
      <c r="K165" s="10">
        <f>IF($A165="","",IF(SUMPRODUCT(($A$5:$A$300=$A165)*(ISNUMBER($D$5:$D$300)+ISNUMBER($E$5:$E$300)))=0,"",H165+I165-J165))</f>
        <v/>
      </c>
      <c r="L165" s="11">
        <f>IF(OR($A165="",K165=""),"",K165-G165)</f>
        <v/>
      </c>
      <c r="M165" s="12">
        <f>IF($A165="","",IF(K165="","not counted yet",IF(ABS(L165)&lt;=$B$3,"Balanced",IF(L165&lt;0,"Short","Over"))))</f>
        <v/>
      </c>
    </row>
    <row r="166">
      <c r="A166" s="13" t="n"/>
      <c r="B166" s="14" t="n"/>
      <c r="C166" s="5" t="n"/>
      <c r="D166" s="5" t="n"/>
      <c r="E166" s="5" t="n"/>
      <c r="F166" s="5" t="n"/>
      <c r="G166" s="10">
        <f>IF($A166="","",SUMIF($A$5:$A$300,$A166,$C$5:$C$300))</f>
        <v/>
      </c>
      <c r="H166" s="10">
        <f>IF($A166="","",SUMIF($A$5:$A$300,$A166,$D$5:$D$300))</f>
        <v/>
      </c>
      <c r="I166" s="10">
        <f>IF($A166="","",SUMIF($A$5:$A$300,$A166,$E$5:$E$300))</f>
        <v/>
      </c>
      <c r="J166" s="10">
        <f>IF($A166="","",SUMIF($A$5:$A$300,$A166,$F$5:$F$300))</f>
        <v/>
      </c>
      <c r="K166" s="10">
        <f>IF($A166="","",IF(SUMPRODUCT(($A$5:$A$300=$A166)*(ISNUMBER($D$5:$D$300)+ISNUMBER($E$5:$E$300)))=0,"",H166+I166-J166))</f>
        <v/>
      </c>
      <c r="L166" s="11">
        <f>IF(OR($A166="",K166=""),"",K166-G166)</f>
        <v/>
      </c>
      <c r="M166" s="12">
        <f>IF($A166="","",IF(K166="","not counted yet",IF(ABS(L166)&lt;=$B$3,"Balanced",IF(L166&lt;0,"Short","Over"))))</f>
        <v/>
      </c>
    </row>
    <row r="167">
      <c r="A167" s="13" t="n"/>
      <c r="B167" s="14" t="n"/>
      <c r="C167" s="5" t="n"/>
      <c r="D167" s="5" t="n"/>
      <c r="E167" s="5" t="n"/>
      <c r="F167" s="5" t="n"/>
      <c r="G167" s="10">
        <f>IF($A167="","",SUMIF($A$5:$A$300,$A167,$C$5:$C$300))</f>
        <v/>
      </c>
      <c r="H167" s="10">
        <f>IF($A167="","",SUMIF($A$5:$A$300,$A167,$D$5:$D$300))</f>
        <v/>
      </c>
      <c r="I167" s="10">
        <f>IF($A167="","",SUMIF($A$5:$A$300,$A167,$E$5:$E$300))</f>
        <v/>
      </c>
      <c r="J167" s="10">
        <f>IF($A167="","",SUMIF($A$5:$A$300,$A167,$F$5:$F$300))</f>
        <v/>
      </c>
      <c r="K167" s="10">
        <f>IF($A167="","",IF(SUMPRODUCT(($A$5:$A$300=$A167)*(ISNUMBER($D$5:$D$300)+ISNUMBER($E$5:$E$300)))=0,"",H167+I167-J167))</f>
        <v/>
      </c>
      <c r="L167" s="11">
        <f>IF(OR($A167="",K167=""),"",K167-G167)</f>
        <v/>
      </c>
      <c r="M167" s="12">
        <f>IF($A167="","",IF(K167="","not counted yet",IF(ABS(L167)&lt;=$B$3,"Balanced",IF(L167&lt;0,"Short","Over"))))</f>
        <v/>
      </c>
    </row>
    <row r="168">
      <c r="A168" s="13" t="n"/>
      <c r="B168" s="14" t="n"/>
      <c r="C168" s="5" t="n"/>
      <c r="D168" s="5" t="n"/>
      <c r="E168" s="5" t="n"/>
      <c r="F168" s="5" t="n"/>
      <c r="G168" s="10">
        <f>IF($A168="","",SUMIF($A$5:$A$300,$A168,$C$5:$C$300))</f>
        <v/>
      </c>
      <c r="H168" s="10">
        <f>IF($A168="","",SUMIF($A$5:$A$300,$A168,$D$5:$D$300))</f>
        <v/>
      </c>
      <c r="I168" s="10">
        <f>IF($A168="","",SUMIF($A$5:$A$300,$A168,$E$5:$E$300))</f>
        <v/>
      </c>
      <c r="J168" s="10">
        <f>IF($A168="","",SUMIF($A$5:$A$300,$A168,$F$5:$F$300))</f>
        <v/>
      </c>
      <c r="K168" s="10">
        <f>IF($A168="","",IF(SUMPRODUCT(($A$5:$A$300=$A168)*(ISNUMBER($D$5:$D$300)+ISNUMBER($E$5:$E$300)))=0,"",H168+I168-J168))</f>
        <v/>
      </c>
      <c r="L168" s="11">
        <f>IF(OR($A168="",K168=""),"",K168-G168)</f>
        <v/>
      </c>
      <c r="M168" s="12">
        <f>IF($A168="","",IF(K168="","not counted yet",IF(ABS(L168)&lt;=$B$3,"Balanced",IF(L168&lt;0,"Short","Over"))))</f>
        <v/>
      </c>
    </row>
    <row r="169">
      <c r="A169" s="13" t="n"/>
      <c r="B169" s="14" t="n"/>
      <c r="C169" s="5" t="n"/>
      <c r="D169" s="5" t="n"/>
      <c r="E169" s="5" t="n"/>
      <c r="F169" s="5" t="n"/>
      <c r="G169" s="10">
        <f>IF($A169="","",SUMIF($A$5:$A$300,$A169,$C$5:$C$300))</f>
        <v/>
      </c>
      <c r="H169" s="10">
        <f>IF($A169="","",SUMIF($A$5:$A$300,$A169,$D$5:$D$300))</f>
        <v/>
      </c>
      <c r="I169" s="10">
        <f>IF($A169="","",SUMIF($A$5:$A$300,$A169,$E$5:$E$300))</f>
        <v/>
      </c>
      <c r="J169" s="10">
        <f>IF($A169="","",SUMIF($A$5:$A$300,$A169,$F$5:$F$300))</f>
        <v/>
      </c>
      <c r="K169" s="10">
        <f>IF($A169="","",IF(SUMPRODUCT(($A$5:$A$300=$A169)*(ISNUMBER($D$5:$D$300)+ISNUMBER($E$5:$E$300)))=0,"",H169+I169-J169))</f>
        <v/>
      </c>
      <c r="L169" s="11">
        <f>IF(OR($A169="",K169=""),"",K169-G169)</f>
        <v/>
      </c>
      <c r="M169" s="12">
        <f>IF($A169="","",IF(K169="","not counted yet",IF(ABS(L169)&lt;=$B$3,"Balanced",IF(L169&lt;0,"Short","Over"))))</f>
        <v/>
      </c>
    </row>
    <row r="170">
      <c r="A170" s="13" t="n"/>
      <c r="B170" s="14" t="n"/>
      <c r="C170" s="5" t="n"/>
      <c r="D170" s="5" t="n"/>
      <c r="E170" s="5" t="n"/>
      <c r="F170" s="5" t="n"/>
      <c r="G170" s="10">
        <f>IF($A170="","",SUMIF($A$5:$A$300,$A170,$C$5:$C$300))</f>
        <v/>
      </c>
      <c r="H170" s="10">
        <f>IF($A170="","",SUMIF($A$5:$A$300,$A170,$D$5:$D$300))</f>
        <v/>
      </c>
      <c r="I170" s="10">
        <f>IF($A170="","",SUMIF($A$5:$A$300,$A170,$E$5:$E$300))</f>
        <v/>
      </c>
      <c r="J170" s="10">
        <f>IF($A170="","",SUMIF($A$5:$A$300,$A170,$F$5:$F$300))</f>
        <v/>
      </c>
      <c r="K170" s="10">
        <f>IF($A170="","",IF(SUMPRODUCT(($A$5:$A$300=$A170)*(ISNUMBER($D$5:$D$300)+ISNUMBER($E$5:$E$300)))=0,"",H170+I170-J170))</f>
        <v/>
      </c>
      <c r="L170" s="11">
        <f>IF(OR($A170="",K170=""),"",K170-G170)</f>
        <v/>
      </c>
      <c r="M170" s="12">
        <f>IF($A170="","",IF(K170="","not counted yet",IF(ABS(L170)&lt;=$B$3,"Balanced",IF(L170&lt;0,"Short","Over"))))</f>
        <v/>
      </c>
    </row>
    <row r="171">
      <c r="A171" s="13" t="n"/>
      <c r="B171" s="14" t="n"/>
      <c r="C171" s="5" t="n"/>
      <c r="D171" s="5" t="n"/>
      <c r="E171" s="5" t="n"/>
      <c r="F171" s="5" t="n"/>
      <c r="G171" s="10">
        <f>IF($A171="","",SUMIF($A$5:$A$300,$A171,$C$5:$C$300))</f>
        <v/>
      </c>
      <c r="H171" s="10">
        <f>IF($A171="","",SUMIF($A$5:$A$300,$A171,$D$5:$D$300))</f>
        <v/>
      </c>
      <c r="I171" s="10">
        <f>IF($A171="","",SUMIF($A$5:$A$300,$A171,$E$5:$E$300))</f>
        <v/>
      </c>
      <c r="J171" s="10">
        <f>IF($A171="","",SUMIF($A$5:$A$300,$A171,$F$5:$F$300))</f>
        <v/>
      </c>
      <c r="K171" s="10">
        <f>IF($A171="","",IF(SUMPRODUCT(($A$5:$A$300=$A171)*(ISNUMBER($D$5:$D$300)+ISNUMBER($E$5:$E$300)))=0,"",H171+I171-J171))</f>
        <v/>
      </c>
      <c r="L171" s="11">
        <f>IF(OR($A171="",K171=""),"",K171-G171)</f>
        <v/>
      </c>
      <c r="M171" s="12">
        <f>IF($A171="","",IF(K171="","not counted yet",IF(ABS(L171)&lt;=$B$3,"Balanced",IF(L171&lt;0,"Short","Over"))))</f>
        <v/>
      </c>
    </row>
    <row r="172">
      <c r="A172" s="13" t="n"/>
      <c r="B172" s="14" t="n"/>
      <c r="C172" s="5" t="n"/>
      <c r="D172" s="5" t="n"/>
      <c r="E172" s="5" t="n"/>
      <c r="F172" s="5" t="n"/>
      <c r="G172" s="10">
        <f>IF($A172="","",SUMIF($A$5:$A$300,$A172,$C$5:$C$300))</f>
        <v/>
      </c>
      <c r="H172" s="10">
        <f>IF($A172="","",SUMIF($A$5:$A$300,$A172,$D$5:$D$300))</f>
        <v/>
      </c>
      <c r="I172" s="10">
        <f>IF($A172="","",SUMIF($A$5:$A$300,$A172,$E$5:$E$300))</f>
        <v/>
      </c>
      <c r="J172" s="10">
        <f>IF($A172="","",SUMIF($A$5:$A$300,$A172,$F$5:$F$300))</f>
        <v/>
      </c>
      <c r="K172" s="10">
        <f>IF($A172="","",IF(SUMPRODUCT(($A$5:$A$300=$A172)*(ISNUMBER($D$5:$D$300)+ISNUMBER($E$5:$E$300)))=0,"",H172+I172-J172))</f>
        <v/>
      </c>
      <c r="L172" s="11">
        <f>IF(OR($A172="",K172=""),"",K172-G172)</f>
        <v/>
      </c>
      <c r="M172" s="12">
        <f>IF($A172="","",IF(K172="","not counted yet",IF(ABS(L172)&lt;=$B$3,"Balanced",IF(L172&lt;0,"Short","Over"))))</f>
        <v/>
      </c>
    </row>
    <row r="173">
      <c r="A173" s="13" t="n"/>
      <c r="B173" s="14" t="n"/>
      <c r="C173" s="5" t="n"/>
      <c r="D173" s="5" t="n"/>
      <c r="E173" s="5" t="n"/>
      <c r="F173" s="5" t="n"/>
      <c r="G173" s="10">
        <f>IF($A173="","",SUMIF($A$5:$A$300,$A173,$C$5:$C$300))</f>
        <v/>
      </c>
      <c r="H173" s="10">
        <f>IF($A173="","",SUMIF($A$5:$A$300,$A173,$D$5:$D$300))</f>
        <v/>
      </c>
      <c r="I173" s="10">
        <f>IF($A173="","",SUMIF($A$5:$A$300,$A173,$E$5:$E$300))</f>
        <v/>
      </c>
      <c r="J173" s="10">
        <f>IF($A173="","",SUMIF($A$5:$A$300,$A173,$F$5:$F$300))</f>
        <v/>
      </c>
      <c r="K173" s="10">
        <f>IF($A173="","",IF(SUMPRODUCT(($A$5:$A$300=$A173)*(ISNUMBER($D$5:$D$300)+ISNUMBER($E$5:$E$300)))=0,"",H173+I173-J173))</f>
        <v/>
      </c>
      <c r="L173" s="11">
        <f>IF(OR($A173="",K173=""),"",K173-G173)</f>
        <v/>
      </c>
      <c r="M173" s="12">
        <f>IF($A173="","",IF(K173="","not counted yet",IF(ABS(L173)&lt;=$B$3,"Balanced",IF(L173&lt;0,"Short","Over"))))</f>
        <v/>
      </c>
    </row>
    <row r="174">
      <c r="A174" s="13" t="n"/>
      <c r="B174" s="14" t="n"/>
      <c r="C174" s="5" t="n"/>
      <c r="D174" s="5" t="n"/>
      <c r="E174" s="5" t="n"/>
      <c r="F174" s="5" t="n"/>
      <c r="G174" s="10">
        <f>IF($A174="","",SUMIF($A$5:$A$300,$A174,$C$5:$C$300))</f>
        <v/>
      </c>
      <c r="H174" s="10">
        <f>IF($A174="","",SUMIF($A$5:$A$300,$A174,$D$5:$D$300))</f>
        <v/>
      </c>
      <c r="I174" s="10">
        <f>IF($A174="","",SUMIF($A$5:$A$300,$A174,$E$5:$E$300))</f>
        <v/>
      </c>
      <c r="J174" s="10">
        <f>IF($A174="","",SUMIF($A$5:$A$300,$A174,$F$5:$F$300))</f>
        <v/>
      </c>
      <c r="K174" s="10">
        <f>IF($A174="","",IF(SUMPRODUCT(($A$5:$A$300=$A174)*(ISNUMBER($D$5:$D$300)+ISNUMBER($E$5:$E$300)))=0,"",H174+I174-J174))</f>
        <v/>
      </c>
      <c r="L174" s="11">
        <f>IF(OR($A174="",K174=""),"",K174-G174)</f>
        <v/>
      </c>
      <c r="M174" s="12">
        <f>IF($A174="","",IF(K174="","not counted yet",IF(ABS(L174)&lt;=$B$3,"Balanced",IF(L174&lt;0,"Short","Over"))))</f>
        <v/>
      </c>
    </row>
    <row r="175">
      <c r="A175" s="13" t="n"/>
      <c r="B175" s="14" t="n"/>
      <c r="C175" s="5" t="n"/>
      <c r="D175" s="5" t="n"/>
      <c r="E175" s="5" t="n"/>
      <c r="F175" s="5" t="n"/>
      <c r="G175" s="10">
        <f>IF($A175="","",SUMIF($A$5:$A$300,$A175,$C$5:$C$300))</f>
        <v/>
      </c>
      <c r="H175" s="10">
        <f>IF($A175="","",SUMIF($A$5:$A$300,$A175,$D$5:$D$300))</f>
        <v/>
      </c>
      <c r="I175" s="10">
        <f>IF($A175="","",SUMIF($A$5:$A$300,$A175,$E$5:$E$300))</f>
        <v/>
      </c>
      <c r="J175" s="10">
        <f>IF($A175="","",SUMIF($A$5:$A$300,$A175,$F$5:$F$300))</f>
        <v/>
      </c>
      <c r="K175" s="10">
        <f>IF($A175="","",IF(SUMPRODUCT(($A$5:$A$300=$A175)*(ISNUMBER($D$5:$D$300)+ISNUMBER($E$5:$E$300)))=0,"",H175+I175-J175))</f>
        <v/>
      </c>
      <c r="L175" s="11">
        <f>IF(OR($A175="",K175=""),"",K175-G175)</f>
        <v/>
      </c>
      <c r="M175" s="12">
        <f>IF($A175="","",IF(K175="","not counted yet",IF(ABS(L175)&lt;=$B$3,"Balanced",IF(L175&lt;0,"Short","Over"))))</f>
        <v/>
      </c>
    </row>
    <row r="176">
      <c r="A176" s="13" t="n"/>
      <c r="B176" s="14" t="n"/>
      <c r="C176" s="5" t="n"/>
      <c r="D176" s="5" t="n"/>
      <c r="E176" s="5" t="n"/>
      <c r="F176" s="5" t="n"/>
      <c r="G176" s="10">
        <f>IF($A176="","",SUMIF($A$5:$A$300,$A176,$C$5:$C$300))</f>
        <v/>
      </c>
      <c r="H176" s="10">
        <f>IF($A176="","",SUMIF($A$5:$A$300,$A176,$D$5:$D$300))</f>
        <v/>
      </c>
      <c r="I176" s="10">
        <f>IF($A176="","",SUMIF($A$5:$A$300,$A176,$E$5:$E$300))</f>
        <v/>
      </c>
      <c r="J176" s="10">
        <f>IF($A176="","",SUMIF($A$5:$A$300,$A176,$F$5:$F$300))</f>
        <v/>
      </c>
      <c r="K176" s="10">
        <f>IF($A176="","",IF(SUMPRODUCT(($A$5:$A$300=$A176)*(ISNUMBER($D$5:$D$300)+ISNUMBER($E$5:$E$300)))=0,"",H176+I176-J176))</f>
        <v/>
      </c>
      <c r="L176" s="11">
        <f>IF(OR($A176="",K176=""),"",K176-G176)</f>
        <v/>
      </c>
      <c r="M176" s="12">
        <f>IF($A176="","",IF(K176="","not counted yet",IF(ABS(L176)&lt;=$B$3,"Balanced",IF(L176&lt;0,"Short","Over"))))</f>
        <v/>
      </c>
    </row>
    <row r="177">
      <c r="A177" s="13" t="n"/>
      <c r="B177" s="14" t="n"/>
      <c r="C177" s="5" t="n"/>
      <c r="D177" s="5" t="n"/>
      <c r="E177" s="5" t="n"/>
      <c r="F177" s="5" t="n"/>
      <c r="G177" s="10">
        <f>IF($A177="","",SUMIF($A$5:$A$300,$A177,$C$5:$C$300))</f>
        <v/>
      </c>
      <c r="H177" s="10">
        <f>IF($A177="","",SUMIF($A$5:$A$300,$A177,$D$5:$D$300))</f>
        <v/>
      </c>
      <c r="I177" s="10">
        <f>IF($A177="","",SUMIF($A$5:$A$300,$A177,$E$5:$E$300))</f>
        <v/>
      </c>
      <c r="J177" s="10">
        <f>IF($A177="","",SUMIF($A$5:$A$300,$A177,$F$5:$F$300))</f>
        <v/>
      </c>
      <c r="K177" s="10">
        <f>IF($A177="","",IF(SUMPRODUCT(($A$5:$A$300=$A177)*(ISNUMBER($D$5:$D$300)+ISNUMBER($E$5:$E$300)))=0,"",H177+I177-J177))</f>
        <v/>
      </c>
      <c r="L177" s="11">
        <f>IF(OR($A177="",K177=""),"",K177-G177)</f>
        <v/>
      </c>
      <c r="M177" s="12">
        <f>IF($A177="","",IF(K177="","not counted yet",IF(ABS(L177)&lt;=$B$3,"Balanced",IF(L177&lt;0,"Short","Over"))))</f>
        <v/>
      </c>
    </row>
    <row r="178">
      <c r="A178" s="13" t="n"/>
      <c r="B178" s="14" t="n"/>
      <c r="C178" s="5" t="n"/>
      <c r="D178" s="5" t="n"/>
      <c r="E178" s="5" t="n"/>
      <c r="F178" s="5" t="n"/>
      <c r="G178" s="10">
        <f>IF($A178="","",SUMIF($A$5:$A$300,$A178,$C$5:$C$300))</f>
        <v/>
      </c>
      <c r="H178" s="10">
        <f>IF($A178="","",SUMIF($A$5:$A$300,$A178,$D$5:$D$300))</f>
        <v/>
      </c>
      <c r="I178" s="10">
        <f>IF($A178="","",SUMIF($A$5:$A$300,$A178,$E$5:$E$300))</f>
        <v/>
      </c>
      <c r="J178" s="10">
        <f>IF($A178="","",SUMIF($A$5:$A$300,$A178,$F$5:$F$300))</f>
        <v/>
      </c>
      <c r="K178" s="10">
        <f>IF($A178="","",IF(SUMPRODUCT(($A$5:$A$300=$A178)*(ISNUMBER($D$5:$D$300)+ISNUMBER($E$5:$E$300)))=0,"",H178+I178-J178))</f>
        <v/>
      </c>
      <c r="L178" s="11">
        <f>IF(OR($A178="",K178=""),"",K178-G178)</f>
        <v/>
      </c>
      <c r="M178" s="12">
        <f>IF($A178="","",IF(K178="","not counted yet",IF(ABS(L178)&lt;=$B$3,"Balanced",IF(L178&lt;0,"Short","Over"))))</f>
        <v/>
      </c>
    </row>
    <row r="179">
      <c r="A179" s="13" t="n"/>
      <c r="B179" s="14" t="n"/>
      <c r="C179" s="5" t="n"/>
      <c r="D179" s="5" t="n"/>
      <c r="E179" s="5" t="n"/>
      <c r="F179" s="5" t="n"/>
      <c r="G179" s="10">
        <f>IF($A179="","",SUMIF($A$5:$A$300,$A179,$C$5:$C$300))</f>
        <v/>
      </c>
      <c r="H179" s="10">
        <f>IF($A179="","",SUMIF($A$5:$A$300,$A179,$D$5:$D$300))</f>
        <v/>
      </c>
      <c r="I179" s="10">
        <f>IF($A179="","",SUMIF($A$5:$A$300,$A179,$E$5:$E$300))</f>
        <v/>
      </c>
      <c r="J179" s="10">
        <f>IF($A179="","",SUMIF($A$5:$A$300,$A179,$F$5:$F$300))</f>
        <v/>
      </c>
      <c r="K179" s="10">
        <f>IF($A179="","",IF(SUMPRODUCT(($A$5:$A$300=$A179)*(ISNUMBER($D$5:$D$300)+ISNUMBER($E$5:$E$300)))=0,"",H179+I179-J179))</f>
        <v/>
      </c>
      <c r="L179" s="11">
        <f>IF(OR($A179="",K179=""),"",K179-G179)</f>
        <v/>
      </c>
      <c r="M179" s="12">
        <f>IF($A179="","",IF(K179="","not counted yet",IF(ABS(L179)&lt;=$B$3,"Balanced",IF(L179&lt;0,"Short","Over"))))</f>
        <v/>
      </c>
    </row>
    <row r="180">
      <c r="A180" s="13" t="n"/>
      <c r="B180" s="14" t="n"/>
      <c r="C180" s="5" t="n"/>
      <c r="D180" s="5" t="n"/>
      <c r="E180" s="5" t="n"/>
      <c r="F180" s="5" t="n"/>
      <c r="G180" s="10">
        <f>IF($A180="","",SUMIF($A$5:$A$300,$A180,$C$5:$C$300))</f>
        <v/>
      </c>
      <c r="H180" s="10">
        <f>IF($A180="","",SUMIF($A$5:$A$300,$A180,$D$5:$D$300))</f>
        <v/>
      </c>
      <c r="I180" s="10">
        <f>IF($A180="","",SUMIF($A$5:$A$300,$A180,$E$5:$E$300))</f>
        <v/>
      </c>
      <c r="J180" s="10">
        <f>IF($A180="","",SUMIF($A$5:$A$300,$A180,$F$5:$F$300))</f>
        <v/>
      </c>
      <c r="K180" s="10">
        <f>IF($A180="","",IF(SUMPRODUCT(($A$5:$A$300=$A180)*(ISNUMBER($D$5:$D$300)+ISNUMBER($E$5:$E$300)))=0,"",H180+I180-J180))</f>
        <v/>
      </c>
      <c r="L180" s="11">
        <f>IF(OR($A180="",K180=""),"",K180-G180)</f>
        <v/>
      </c>
      <c r="M180" s="12">
        <f>IF($A180="","",IF(K180="","not counted yet",IF(ABS(L180)&lt;=$B$3,"Balanced",IF(L180&lt;0,"Short","Over"))))</f>
        <v/>
      </c>
    </row>
    <row r="181">
      <c r="A181" s="13" t="n"/>
      <c r="B181" s="14" t="n"/>
      <c r="C181" s="5" t="n"/>
      <c r="D181" s="5" t="n"/>
      <c r="E181" s="5" t="n"/>
      <c r="F181" s="5" t="n"/>
      <c r="G181" s="10">
        <f>IF($A181="","",SUMIF($A$5:$A$300,$A181,$C$5:$C$300))</f>
        <v/>
      </c>
      <c r="H181" s="10">
        <f>IF($A181="","",SUMIF($A$5:$A$300,$A181,$D$5:$D$300))</f>
        <v/>
      </c>
      <c r="I181" s="10">
        <f>IF($A181="","",SUMIF($A$5:$A$300,$A181,$E$5:$E$300))</f>
        <v/>
      </c>
      <c r="J181" s="10">
        <f>IF($A181="","",SUMIF($A$5:$A$300,$A181,$F$5:$F$300))</f>
        <v/>
      </c>
      <c r="K181" s="10">
        <f>IF($A181="","",IF(SUMPRODUCT(($A$5:$A$300=$A181)*(ISNUMBER($D$5:$D$300)+ISNUMBER($E$5:$E$300)))=0,"",H181+I181-J181))</f>
        <v/>
      </c>
      <c r="L181" s="11">
        <f>IF(OR($A181="",K181=""),"",K181-G181)</f>
        <v/>
      </c>
      <c r="M181" s="12">
        <f>IF($A181="","",IF(K181="","not counted yet",IF(ABS(L181)&lt;=$B$3,"Balanced",IF(L181&lt;0,"Short","Over"))))</f>
        <v/>
      </c>
    </row>
    <row r="182">
      <c r="A182" s="13" t="n"/>
      <c r="B182" s="14" t="n"/>
      <c r="C182" s="5" t="n"/>
      <c r="D182" s="5" t="n"/>
      <c r="E182" s="5" t="n"/>
      <c r="F182" s="5" t="n"/>
      <c r="G182" s="10">
        <f>IF($A182="","",SUMIF($A$5:$A$300,$A182,$C$5:$C$300))</f>
        <v/>
      </c>
      <c r="H182" s="10">
        <f>IF($A182="","",SUMIF($A$5:$A$300,$A182,$D$5:$D$300))</f>
        <v/>
      </c>
      <c r="I182" s="10">
        <f>IF($A182="","",SUMIF($A$5:$A$300,$A182,$E$5:$E$300))</f>
        <v/>
      </c>
      <c r="J182" s="10">
        <f>IF($A182="","",SUMIF($A$5:$A$300,$A182,$F$5:$F$300))</f>
        <v/>
      </c>
      <c r="K182" s="10">
        <f>IF($A182="","",IF(SUMPRODUCT(($A$5:$A$300=$A182)*(ISNUMBER($D$5:$D$300)+ISNUMBER($E$5:$E$300)))=0,"",H182+I182-J182))</f>
        <v/>
      </c>
      <c r="L182" s="11">
        <f>IF(OR($A182="",K182=""),"",K182-G182)</f>
        <v/>
      </c>
      <c r="M182" s="12">
        <f>IF($A182="","",IF(K182="","not counted yet",IF(ABS(L182)&lt;=$B$3,"Balanced",IF(L182&lt;0,"Short","Over"))))</f>
        <v/>
      </c>
    </row>
    <row r="183">
      <c r="A183" s="13" t="n"/>
      <c r="B183" s="14" t="n"/>
      <c r="C183" s="5" t="n"/>
      <c r="D183" s="5" t="n"/>
      <c r="E183" s="5" t="n"/>
      <c r="F183" s="5" t="n"/>
      <c r="G183" s="10">
        <f>IF($A183="","",SUMIF($A$5:$A$300,$A183,$C$5:$C$300))</f>
        <v/>
      </c>
      <c r="H183" s="10">
        <f>IF($A183="","",SUMIF($A$5:$A$300,$A183,$D$5:$D$300))</f>
        <v/>
      </c>
      <c r="I183" s="10">
        <f>IF($A183="","",SUMIF($A$5:$A$300,$A183,$E$5:$E$300))</f>
        <v/>
      </c>
      <c r="J183" s="10">
        <f>IF($A183="","",SUMIF($A$5:$A$300,$A183,$F$5:$F$300))</f>
        <v/>
      </c>
      <c r="K183" s="10">
        <f>IF($A183="","",IF(SUMPRODUCT(($A$5:$A$300=$A183)*(ISNUMBER($D$5:$D$300)+ISNUMBER($E$5:$E$300)))=0,"",H183+I183-J183))</f>
        <v/>
      </c>
      <c r="L183" s="11">
        <f>IF(OR($A183="",K183=""),"",K183-G183)</f>
        <v/>
      </c>
      <c r="M183" s="12">
        <f>IF($A183="","",IF(K183="","not counted yet",IF(ABS(L183)&lt;=$B$3,"Balanced",IF(L183&lt;0,"Short","Over"))))</f>
        <v/>
      </c>
    </row>
    <row r="184">
      <c r="A184" s="13" t="n"/>
      <c r="B184" s="14" t="n"/>
      <c r="C184" s="5" t="n"/>
      <c r="D184" s="5" t="n"/>
      <c r="E184" s="5" t="n"/>
      <c r="F184" s="5" t="n"/>
      <c r="G184" s="10">
        <f>IF($A184="","",SUMIF($A$5:$A$300,$A184,$C$5:$C$300))</f>
        <v/>
      </c>
      <c r="H184" s="10">
        <f>IF($A184="","",SUMIF($A$5:$A$300,$A184,$D$5:$D$300))</f>
        <v/>
      </c>
      <c r="I184" s="10">
        <f>IF($A184="","",SUMIF($A$5:$A$300,$A184,$E$5:$E$300))</f>
        <v/>
      </c>
      <c r="J184" s="10">
        <f>IF($A184="","",SUMIF($A$5:$A$300,$A184,$F$5:$F$300))</f>
        <v/>
      </c>
      <c r="K184" s="10">
        <f>IF($A184="","",IF(SUMPRODUCT(($A$5:$A$300=$A184)*(ISNUMBER($D$5:$D$300)+ISNUMBER($E$5:$E$300)))=0,"",H184+I184-J184))</f>
        <v/>
      </c>
      <c r="L184" s="11">
        <f>IF(OR($A184="",K184=""),"",K184-G184)</f>
        <v/>
      </c>
      <c r="M184" s="12">
        <f>IF($A184="","",IF(K184="","not counted yet",IF(ABS(L184)&lt;=$B$3,"Balanced",IF(L184&lt;0,"Short","Over"))))</f>
        <v/>
      </c>
    </row>
    <row r="185">
      <c r="A185" s="13" t="n"/>
      <c r="B185" s="14" t="n"/>
      <c r="C185" s="5" t="n"/>
      <c r="D185" s="5" t="n"/>
      <c r="E185" s="5" t="n"/>
      <c r="F185" s="5" t="n"/>
      <c r="G185" s="10">
        <f>IF($A185="","",SUMIF($A$5:$A$300,$A185,$C$5:$C$300))</f>
        <v/>
      </c>
      <c r="H185" s="10">
        <f>IF($A185="","",SUMIF($A$5:$A$300,$A185,$D$5:$D$300))</f>
        <v/>
      </c>
      <c r="I185" s="10">
        <f>IF($A185="","",SUMIF($A$5:$A$300,$A185,$E$5:$E$300))</f>
        <v/>
      </c>
      <c r="J185" s="10">
        <f>IF($A185="","",SUMIF($A$5:$A$300,$A185,$F$5:$F$300))</f>
        <v/>
      </c>
      <c r="K185" s="10">
        <f>IF($A185="","",IF(SUMPRODUCT(($A$5:$A$300=$A185)*(ISNUMBER($D$5:$D$300)+ISNUMBER($E$5:$E$300)))=0,"",H185+I185-J185))</f>
        <v/>
      </c>
      <c r="L185" s="11">
        <f>IF(OR($A185="",K185=""),"",K185-G185)</f>
        <v/>
      </c>
      <c r="M185" s="12">
        <f>IF($A185="","",IF(K185="","not counted yet",IF(ABS(L185)&lt;=$B$3,"Balanced",IF(L185&lt;0,"Short","Over"))))</f>
        <v/>
      </c>
    </row>
    <row r="186">
      <c r="A186" s="13" t="n"/>
      <c r="B186" s="14" t="n"/>
      <c r="C186" s="5" t="n"/>
      <c r="D186" s="5" t="n"/>
      <c r="E186" s="5" t="n"/>
      <c r="F186" s="5" t="n"/>
      <c r="G186" s="10">
        <f>IF($A186="","",SUMIF($A$5:$A$300,$A186,$C$5:$C$300))</f>
        <v/>
      </c>
      <c r="H186" s="10">
        <f>IF($A186="","",SUMIF($A$5:$A$300,$A186,$D$5:$D$300))</f>
        <v/>
      </c>
      <c r="I186" s="10">
        <f>IF($A186="","",SUMIF($A$5:$A$300,$A186,$E$5:$E$300))</f>
        <v/>
      </c>
      <c r="J186" s="10">
        <f>IF($A186="","",SUMIF($A$5:$A$300,$A186,$F$5:$F$300))</f>
        <v/>
      </c>
      <c r="K186" s="10">
        <f>IF($A186="","",IF(SUMPRODUCT(($A$5:$A$300=$A186)*(ISNUMBER($D$5:$D$300)+ISNUMBER($E$5:$E$300)))=0,"",H186+I186-J186))</f>
        <v/>
      </c>
      <c r="L186" s="11">
        <f>IF(OR($A186="",K186=""),"",K186-G186)</f>
        <v/>
      </c>
      <c r="M186" s="12">
        <f>IF($A186="","",IF(K186="","not counted yet",IF(ABS(L186)&lt;=$B$3,"Balanced",IF(L186&lt;0,"Short","Over"))))</f>
        <v/>
      </c>
    </row>
    <row r="187">
      <c r="A187" s="13" t="n"/>
      <c r="B187" s="14" t="n"/>
      <c r="C187" s="5" t="n"/>
      <c r="D187" s="5" t="n"/>
      <c r="E187" s="5" t="n"/>
      <c r="F187" s="5" t="n"/>
      <c r="G187" s="10">
        <f>IF($A187="","",SUMIF($A$5:$A$300,$A187,$C$5:$C$300))</f>
        <v/>
      </c>
      <c r="H187" s="10">
        <f>IF($A187="","",SUMIF($A$5:$A$300,$A187,$D$5:$D$300))</f>
        <v/>
      </c>
      <c r="I187" s="10">
        <f>IF($A187="","",SUMIF($A$5:$A$300,$A187,$E$5:$E$300))</f>
        <v/>
      </c>
      <c r="J187" s="10">
        <f>IF($A187="","",SUMIF($A$5:$A$300,$A187,$F$5:$F$300))</f>
        <v/>
      </c>
      <c r="K187" s="10">
        <f>IF($A187="","",IF(SUMPRODUCT(($A$5:$A$300=$A187)*(ISNUMBER($D$5:$D$300)+ISNUMBER($E$5:$E$300)))=0,"",H187+I187-J187))</f>
        <v/>
      </c>
      <c r="L187" s="11">
        <f>IF(OR($A187="",K187=""),"",K187-G187)</f>
        <v/>
      </c>
      <c r="M187" s="12">
        <f>IF($A187="","",IF(K187="","not counted yet",IF(ABS(L187)&lt;=$B$3,"Balanced",IF(L187&lt;0,"Short","Over"))))</f>
        <v/>
      </c>
    </row>
    <row r="188">
      <c r="A188" s="13" t="n"/>
      <c r="B188" s="14" t="n"/>
      <c r="C188" s="5" t="n"/>
      <c r="D188" s="5" t="n"/>
      <c r="E188" s="5" t="n"/>
      <c r="F188" s="5" t="n"/>
      <c r="G188" s="10">
        <f>IF($A188="","",SUMIF($A$5:$A$300,$A188,$C$5:$C$300))</f>
        <v/>
      </c>
      <c r="H188" s="10">
        <f>IF($A188="","",SUMIF($A$5:$A$300,$A188,$D$5:$D$300))</f>
        <v/>
      </c>
      <c r="I188" s="10">
        <f>IF($A188="","",SUMIF($A$5:$A$300,$A188,$E$5:$E$300))</f>
        <v/>
      </c>
      <c r="J188" s="10">
        <f>IF($A188="","",SUMIF($A$5:$A$300,$A188,$F$5:$F$300))</f>
        <v/>
      </c>
      <c r="K188" s="10">
        <f>IF($A188="","",IF(SUMPRODUCT(($A$5:$A$300=$A188)*(ISNUMBER($D$5:$D$300)+ISNUMBER($E$5:$E$300)))=0,"",H188+I188-J188))</f>
        <v/>
      </c>
      <c r="L188" s="11">
        <f>IF(OR($A188="",K188=""),"",K188-G188)</f>
        <v/>
      </c>
      <c r="M188" s="12">
        <f>IF($A188="","",IF(K188="","not counted yet",IF(ABS(L188)&lt;=$B$3,"Balanced",IF(L188&lt;0,"Short","Over"))))</f>
        <v/>
      </c>
    </row>
    <row r="189">
      <c r="A189" s="13" t="n"/>
      <c r="B189" s="14" t="n"/>
      <c r="C189" s="5" t="n"/>
      <c r="D189" s="5" t="n"/>
      <c r="E189" s="5" t="n"/>
      <c r="F189" s="5" t="n"/>
      <c r="G189" s="10">
        <f>IF($A189="","",SUMIF($A$5:$A$300,$A189,$C$5:$C$300))</f>
        <v/>
      </c>
      <c r="H189" s="10">
        <f>IF($A189="","",SUMIF($A$5:$A$300,$A189,$D$5:$D$300))</f>
        <v/>
      </c>
      <c r="I189" s="10">
        <f>IF($A189="","",SUMIF($A$5:$A$300,$A189,$E$5:$E$300))</f>
        <v/>
      </c>
      <c r="J189" s="10">
        <f>IF($A189="","",SUMIF($A$5:$A$300,$A189,$F$5:$F$300))</f>
        <v/>
      </c>
      <c r="K189" s="10">
        <f>IF($A189="","",IF(SUMPRODUCT(($A$5:$A$300=$A189)*(ISNUMBER($D$5:$D$300)+ISNUMBER($E$5:$E$300)))=0,"",H189+I189-J189))</f>
        <v/>
      </c>
      <c r="L189" s="11">
        <f>IF(OR($A189="",K189=""),"",K189-G189)</f>
        <v/>
      </c>
      <c r="M189" s="12">
        <f>IF($A189="","",IF(K189="","not counted yet",IF(ABS(L189)&lt;=$B$3,"Balanced",IF(L189&lt;0,"Short","Over"))))</f>
        <v/>
      </c>
    </row>
    <row r="190">
      <c r="A190" s="13" t="n"/>
      <c r="B190" s="14" t="n"/>
      <c r="C190" s="5" t="n"/>
      <c r="D190" s="5" t="n"/>
      <c r="E190" s="5" t="n"/>
      <c r="F190" s="5" t="n"/>
      <c r="G190" s="10">
        <f>IF($A190="","",SUMIF($A$5:$A$300,$A190,$C$5:$C$300))</f>
        <v/>
      </c>
      <c r="H190" s="10">
        <f>IF($A190="","",SUMIF($A$5:$A$300,$A190,$D$5:$D$300))</f>
        <v/>
      </c>
      <c r="I190" s="10">
        <f>IF($A190="","",SUMIF($A$5:$A$300,$A190,$E$5:$E$300))</f>
        <v/>
      </c>
      <c r="J190" s="10">
        <f>IF($A190="","",SUMIF($A$5:$A$300,$A190,$F$5:$F$300))</f>
        <v/>
      </c>
      <c r="K190" s="10">
        <f>IF($A190="","",IF(SUMPRODUCT(($A$5:$A$300=$A190)*(ISNUMBER($D$5:$D$300)+ISNUMBER($E$5:$E$300)))=0,"",H190+I190-J190))</f>
        <v/>
      </c>
      <c r="L190" s="11">
        <f>IF(OR($A190="",K190=""),"",K190-G190)</f>
        <v/>
      </c>
      <c r="M190" s="12">
        <f>IF($A190="","",IF(K190="","not counted yet",IF(ABS(L190)&lt;=$B$3,"Balanced",IF(L190&lt;0,"Short","Over"))))</f>
        <v/>
      </c>
    </row>
    <row r="191">
      <c r="A191" s="13" t="n"/>
      <c r="B191" s="14" t="n"/>
      <c r="C191" s="5" t="n"/>
      <c r="D191" s="5" t="n"/>
      <c r="E191" s="5" t="n"/>
      <c r="F191" s="5" t="n"/>
      <c r="G191" s="10">
        <f>IF($A191="","",SUMIF($A$5:$A$300,$A191,$C$5:$C$300))</f>
        <v/>
      </c>
      <c r="H191" s="10">
        <f>IF($A191="","",SUMIF($A$5:$A$300,$A191,$D$5:$D$300))</f>
        <v/>
      </c>
      <c r="I191" s="10">
        <f>IF($A191="","",SUMIF($A$5:$A$300,$A191,$E$5:$E$300))</f>
        <v/>
      </c>
      <c r="J191" s="10">
        <f>IF($A191="","",SUMIF($A$5:$A$300,$A191,$F$5:$F$300))</f>
        <v/>
      </c>
      <c r="K191" s="10">
        <f>IF($A191="","",IF(SUMPRODUCT(($A$5:$A$300=$A191)*(ISNUMBER($D$5:$D$300)+ISNUMBER($E$5:$E$300)))=0,"",H191+I191-J191))</f>
        <v/>
      </c>
      <c r="L191" s="11">
        <f>IF(OR($A191="",K191=""),"",K191-G191)</f>
        <v/>
      </c>
      <c r="M191" s="12">
        <f>IF($A191="","",IF(K191="","not counted yet",IF(ABS(L191)&lt;=$B$3,"Balanced",IF(L191&lt;0,"Short","Over"))))</f>
        <v/>
      </c>
    </row>
    <row r="192">
      <c r="A192" s="13" t="n"/>
      <c r="B192" s="14" t="n"/>
      <c r="C192" s="5" t="n"/>
      <c r="D192" s="5" t="n"/>
      <c r="E192" s="5" t="n"/>
      <c r="F192" s="5" t="n"/>
      <c r="G192" s="10">
        <f>IF($A192="","",SUMIF($A$5:$A$300,$A192,$C$5:$C$300))</f>
        <v/>
      </c>
      <c r="H192" s="10">
        <f>IF($A192="","",SUMIF($A$5:$A$300,$A192,$D$5:$D$300))</f>
        <v/>
      </c>
      <c r="I192" s="10">
        <f>IF($A192="","",SUMIF($A$5:$A$300,$A192,$E$5:$E$300))</f>
        <v/>
      </c>
      <c r="J192" s="10">
        <f>IF($A192="","",SUMIF($A$5:$A$300,$A192,$F$5:$F$300))</f>
        <v/>
      </c>
      <c r="K192" s="10">
        <f>IF($A192="","",IF(SUMPRODUCT(($A$5:$A$300=$A192)*(ISNUMBER($D$5:$D$300)+ISNUMBER($E$5:$E$300)))=0,"",H192+I192-J192))</f>
        <v/>
      </c>
      <c r="L192" s="11">
        <f>IF(OR($A192="",K192=""),"",K192-G192)</f>
        <v/>
      </c>
      <c r="M192" s="12">
        <f>IF($A192="","",IF(K192="","not counted yet",IF(ABS(L192)&lt;=$B$3,"Balanced",IF(L192&lt;0,"Short","Over"))))</f>
        <v/>
      </c>
    </row>
    <row r="193">
      <c r="A193" s="13" t="n"/>
      <c r="B193" s="14" t="n"/>
      <c r="C193" s="5" t="n"/>
      <c r="D193" s="5" t="n"/>
      <c r="E193" s="5" t="n"/>
      <c r="F193" s="5" t="n"/>
      <c r="G193" s="10">
        <f>IF($A193="","",SUMIF($A$5:$A$300,$A193,$C$5:$C$300))</f>
        <v/>
      </c>
      <c r="H193" s="10">
        <f>IF($A193="","",SUMIF($A$5:$A$300,$A193,$D$5:$D$300))</f>
        <v/>
      </c>
      <c r="I193" s="10">
        <f>IF($A193="","",SUMIF($A$5:$A$300,$A193,$E$5:$E$300))</f>
        <v/>
      </c>
      <c r="J193" s="10">
        <f>IF($A193="","",SUMIF($A$5:$A$300,$A193,$F$5:$F$300))</f>
        <v/>
      </c>
      <c r="K193" s="10">
        <f>IF($A193="","",IF(SUMPRODUCT(($A$5:$A$300=$A193)*(ISNUMBER($D$5:$D$300)+ISNUMBER($E$5:$E$300)))=0,"",H193+I193-J193))</f>
        <v/>
      </c>
      <c r="L193" s="11">
        <f>IF(OR($A193="",K193=""),"",K193-G193)</f>
        <v/>
      </c>
      <c r="M193" s="12">
        <f>IF($A193="","",IF(K193="","not counted yet",IF(ABS(L193)&lt;=$B$3,"Balanced",IF(L193&lt;0,"Short","Over"))))</f>
        <v/>
      </c>
    </row>
    <row r="194">
      <c r="A194" s="13" t="n"/>
      <c r="B194" s="14" t="n"/>
      <c r="C194" s="5" t="n"/>
      <c r="D194" s="5" t="n"/>
      <c r="E194" s="5" t="n"/>
      <c r="F194" s="5" t="n"/>
      <c r="G194" s="10">
        <f>IF($A194="","",SUMIF($A$5:$A$300,$A194,$C$5:$C$300))</f>
        <v/>
      </c>
      <c r="H194" s="10">
        <f>IF($A194="","",SUMIF($A$5:$A$300,$A194,$D$5:$D$300))</f>
        <v/>
      </c>
      <c r="I194" s="10">
        <f>IF($A194="","",SUMIF($A$5:$A$300,$A194,$E$5:$E$300))</f>
        <v/>
      </c>
      <c r="J194" s="10">
        <f>IF($A194="","",SUMIF($A$5:$A$300,$A194,$F$5:$F$300))</f>
        <v/>
      </c>
      <c r="K194" s="10">
        <f>IF($A194="","",IF(SUMPRODUCT(($A$5:$A$300=$A194)*(ISNUMBER($D$5:$D$300)+ISNUMBER($E$5:$E$300)))=0,"",H194+I194-J194))</f>
        <v/>
      </c>
      <c r="L194" s="11">
        <f>IF(OR($A194="",K194=""),"",K194-G194)</f>
        <v/>
      </c>
      <c r="M194" s="12">
        <f>IF($A194="","",IF(K194="","not counted yet",IF(ABS(L194)&lt;=$B$3,"Balanced",IF(L194&lt;0,"Short","Over"))))</f>
        <v/>
      </c>
    </row>
    <row r="195">
      <c r="A195" s="13" t="n"/>
      <c r="B195" s="14" t="n"/>
      <c r="C195" s="5" t="n"/>
      <c r="D195" s="5" t="n"/>
      <c r="E195" s="5" t="n"/>
      <c r="F195" s="5" t="n"/>
      <c r="G195" s="10">
        <f>IF($A195="","",SUMIF($A$5:$A$300,$A195,$C$5:$C$300))</f>
        <v/>
      </c>
      <c r="H195" s="10">
        <f>IF($A195="","",SUMIF($A$5:$A$300,$A195,$D$5:$D$300))</f>
        <v/>
      </c>
      <c r="I195" s="10">
        <f>IF($A195="","",SUMIF($A$5:$A$300,$A195,$E$5:$E$300))</f>
        <v/>
      </c>
      <c r="J195" s="10">
        <f>IF($A195="","",SUMIF($A$5:$A$300,$A195,$F$5:$F$300))</f>
        <v/>
      </c>
      <c r="K195" s="10">
        <f>IF($A195="","",IF(SUMPRODUCT(($A$5:$A$300=$A195)*(ISNUMBER($D$5:$D$300)+ISNUMBER($E$5:$E$300)))=0,"",H195+I195-J195))</f>
        <v/>
      </c>
      <c r="L195" s="11">
        <f>IF(OR($A195="",K195=""),"",K195-G195)</f>
        <v/>
      </c>
      <c r="M195" s="12">
        <f>IF($A195="","",IF(K195="","not counted yet",IF(ABS(L195)&lt;=$B$3,"Balanced",IF(L195&lt;0,"Short","Over"))))</f>
        <v/>
      </c>
    </row>
    <row r="196">
      <c r="A196" s="13" t="n"/>
      <c r="B196" s="14" t="n"/>
      <c r="C196" s="5" t="n"/>
      <c r="D196" s="5" t="n"/>
      <c r="E196" s="5" t="n"/>
      <c r="F196" s="5" t="n"/>
      <c r="G196" s="10">
        <f>IF($A196="","",SUMIF($A$5:$A$300,$A196,$C$5:$C$300))</f>
        <v/>
      </c>
      <c r="H196" s="10">
        <f>IF($A196="","",SUMIF($A$5:$A$300,$A196,$D$5:$D$300))</f>
        <v/>
      </c>
      <c r="I196" s="10">
        <f>IF($A196="","",SUMIF($A$5:$A$300,$A196,$E$5:$E$300))</f>
        <v/>
      </c>
      <c r="J196" s="10">
        <f>IF($A196="","",SUMIF($A$5:$A$300,$A196,$F$5:$F$300))</f>
        <v/>
      </c>
      <c r="K196" s="10">
        <f>IF($A196="","",IF(SUMPRODUCT(($A$5:$A$300=$A196)*(ISNUMBER($D$5:$D$300)+ISNUMBER($E$5:$E$300)))=0,"",H196+I196-J196))</f>
        <v/>
      </c>
      <c r="L196" s="11">
        <f>IF(OR($A196="",K196=""),"",K196-G196)</f>
        <v/>
      </c>
      <c r="M196" s="12">
        <f>IF($A196="","",IF(K196="","not counted yet",IF(ABS(L196)&lt;=$B$3,"Balanced",IF(L196&lt;0,"Short","Over"))))</f>
        <v/>
      </c>
    </row>
    <row r="197">
      <c r="A197" s="13" t="n"/>
      <c r="B197" s="14" t="n"/>
      <c r="C197" s="5" t="n"/>
      <c r="D197" s="5" t="n"/>
      <c r="E197" s="5" t="n"/>
      <c r="F197" s="5" t="n"/>
      <c r="G197" s="10">
        <f>IF($A197="","",SUMIF($A$5:$A$300,$A197,$C$5:$C$300))</f>
        <v/>
      </c>
      <c r="H197" s="10">
        <f>IF($A197="","",SUMIF($A$5:$A$300,$A197,$D$5:$D$300))</f>
        <v/>
      </c>
      <c r="I197" s="10">
        <f>IF($A197="","",SUMIF($A$5:$A$300,$A197,$E$5:$E$300))</f>
        <v/>
      </c>
      <c r="J197" s="10">
        <f>IF($A197="","",SUMIF($A$5:$A$300,$A197,$F$5:$F$300))</f>
        <v/>
      </c>
      <c r="K197" s="10">
        <f>IF($A197="","",IF(SUMPRODUCT(($A$5:$A$300=$A197)*(ISNUMBER($D$5:$D$300)+ISNUMBER($E$5:$E$300)))=0,"",H197+I197-J197))</f>
        <v/>
      </c>
      <c r="L197" s="11">
        <f>IF(OR($A197="",K197=""),"",K197-G197)</f>
        <v/>
      </c>
      <c r="M197" s="12">
        <f>IF($A197="","",IF(K197="","not counted yet",IF(ABS(L197)&lt;=$B$3,"Balanced",IF(L197&lt;0,"Short","Over"))))</f>
        <v/>
      </c>
    </row>
    <row r="198">
      <c r="A198" s="13" t="n"/>
      <c r="B198" s="14" t="n"/>
      <c r="C198" s="5" t="n"/>
      <c r="D198" s="5" t="n"/>
      <c r="E198" s="5" t="n"/>
      <c r="F198" s="5" t="n"/>
      <c r="G198" s="10">
        <f>IF($A198="","",SUMIF($A$5:$A$300,$A198,$C$5:$C$300))</f>
        <v/>
      </c>
      <c r="H198" s="10">
        <f>IF($A198="","",SUMIF($A$5:$A$300,$A198,$D$5:$D$300))</f>
        <v/>
      </c>
      <c r="I198" s="10">
        <f>IF($A198="","",SUMIF($A$5:$A$300,$A198,$E$5:$E$300))</f>
        <v/>
      </c>
      <c r="J198" s="10">
        <f>IF($A198="","",SUMIF($A$5:$A$300,$A198,$F$5:$F$300))</f>
        <v/>
      </c>
      <c r="K198" s="10">
        <f>IF($A198="","",IF(SUMPRODUCT(($A$5:$A$300=$A198)*(ISNUMBER($D$5:$D$300)+ISNUMBER($E$5:$E$300)))=0,"",H198+I198-J198))</f>
        <v/>
      </c>
      <c r="L198" s="11">
        <f>IF(OR($A198="",K198=""),"",K198-G198)</f>
        <v/>
      </c>
      <c r="M198" s="12">
        <f>IF($A198="","",IF(K198="","not counted yet",IF(ABS(L198)&lt;=$B$3,"Balanced",IF(L198&lt;0,"Short","Over"))))</f>
        <v/>
      </c>
    </row>
    <row r="199">
      <c r="A199" s="13" t="n"/>
      <c r="B199" s="14" t="n"/>
      <c r="C199" s="5" t="n"/>
      <c r="D199" s="5" t="n"/>
      <c r="E199" s="5" t="n"/>
      <c r="F199" s="5" t="n"/>
      <c r="G199" s="10">
        <f>IF($A199="","",SUMIF($A$5:$A$300,$A199,$C$5:$C$300))</f>
        <v/>
      </c>
      <c r="H199" s="10">
        <f>IF($A199="","",SUMIF($A$5:$A$300,$A199,$D$5:$D$300))</f>
        <v/>
      </c>
      <c r="I199" s="10">
        <f>IF($A199="","",SUMIF($A$5:$A$300,$A199,$E$5:$E$300))</f>
        <v/>
      </c>
      <c r="J199" s="10">
        <f>IF($A199="","",SUMIF($A$5:$A$300,$A199,$F$5:$F$300))</f>
        <v/>
      </c>
      <c r="K199" s="10">
        <f>IF($A199="","",IF(SUMPRODUCT(($A$5:$A$300=$A199)*(ISNUMBER($D$5:$D$300)+ISNUMBER($E$5:$E$300)))=0,"",H199+I199-J199))</f>
        <v/>
      </c>
      <c r="L199" s="11">
        <f>IF(OR($A199="",K199=""),"",K199-G199)</f>
        <v/>
      </c>
      <c r="M199" s="12">
        <f>IF($A199="","",IF(K199="","not counted yet",IF(ABS(L199)&lt;=$B$3,"Balanced",IF(L199&lt;0,"Short","Over"))))</f>
        <v/>
      </c>
    </row>
    <row r="200">
      <c r="A200" s="13" t="n"/>
      <c r="B200" s="14" t="n"/>
      <c r="C200" s="5" t="n"/>
      <c r="D200" s="5" t="n"/>
      <c r="E200" s="5" t="n"/>
      <c r="F200" s="5" t="n"/>
      <c r="G200" s="10">
        <f>IF($A200="","",SUMIF($A$5:$A$300,$A200,$C$5:$C$300))</f>
        <v/>
      </c>
      <c r="H200" s="10">
        <f>IF($A200="","",SUMIF($A$5:$A$300,$A200,$D$5:$D$300))</f>
        <v/>
      </c>
      <c r="I200" s="10">
        <f>IF($A200="","",SUMIF($A$5:$A$300,$A200,$E$5:$E$300))</f>
        <v/>
      </c>
      <c r="J200" s="10">
        <f>IF($A200="","",SUMIF($A$5:$A$300,$A200,$F$5:$F$300))</f>
        <v/>
      </c>
      <c r="K200" s="10">
        <f>IF($A200="","",IF(SUMPRODUCT(($A$5:$A$300=$A200)*(ISNUMBER($D$5:$D$300)+ISNUMBER($E$5:$E$300)))=0,"",H200+I200-J200))</f>
        <v/>
      </c>
      <c r="L200" s="11">
        <f>IF(OR($A200="",K200=""),"",K200-G200)</f>
        <v/>
      </c>
      <c r="M200" s="12">
        <f>IF($A200="","",IF(K200="","not counted yet",IF(ABS(L200)&lt;=$B$3,"Balanced",IF(L200&lt;0,"Short","Over"))))</f>
        <v/>
      </c>
    </row>
    <row r="201">
      <c r="A201" s="13" t="n"/>
      <c r="B201" s="14" t="n"/>
      <c r="C201" s="5" t="n"/>
      <c r="D201" s="5" t="n"/>
      <c r="E201" s="5" t="n"/>
      <c r="F201" s="5" t="n"/>
      <c r="G201" s="10">
        <f>IF($A201="","",SUMIF($A$5:$A$300,$A201,$C$5:$C$300))</f>
        <v/>
      </c>
      <c r="H201" s="10">
        <f>IF($A201="","",SUMIF($A$5:$A$300,$A201,$D$5:$D$300))</f>
        <v/>
      </c>
      <c r="I201" s="10">
        <f>IF($A201="","",SUMIF($A$5:$A$300,$A201,$E$5:$E$300))</f>
        <v/>
      </c>
      <c r="J201" s="10">
        <f>IF($A201="","",SUMIF($A$5:$A$300,$A201,$F$5:$F$300))</f>
        <v/>
      </c>
      <c r="K201" s="10">
        <f>IF($A201="","",IF(SUMPRODUCT(($A$5:$A$300=$A201)*(ISNUMBER($D$5:$D$300)+ISNUMBER($E$5:$E$300)))=0,"",H201+I201-J201))</f>
        <v/>
      </c>
      <c r="L201" s="11">
        <f>IF(OR($A201="",K201=""),"",K201-G201)</f>
        <v/>
      </c>
      <c r="M201" s="12">
        <f>IF($A201="","",IF(K201="","not counted yet",IF(ABS(L201)&lt;=$B$3,"Balanced",IF(L201&lt;0,"Short","Over"))))</f>
        <v/>
      </c>
    </row>
    <row r="202">
      <c r="A202" s="13" t="n"/>
      <c r="B202" s="14" t="n"/>
      <c r="C202" s="5" t="n"/>
      <c r="D202" s="5" t="n"/>
      <c r="E202" s="5" t="n"/>
      <c r="F202" s="5" t="n"/>
      <c r="G202" s="10">
        <f>IF($A202="","",SUMIF($A$5:$A$300,$A202,$C$5:$C$300))</f>
        <v/>
      </c>
      <c r="H202" s="10">
        <f>IF($A202="","",SUMIF($A$5:$A$300,$A202,$D$5:$D$300))</f>
        <v/>
      </c>
      <c r="I202" s="10">
        <f>IF($A202="","",SUMIF($A$5:$A$300,$A202,$E$5:$E$300))</f>
        <v/>
      </c>
      <c r="J202" s="10">
        <f>IF($A202="","",SUMIF($A$5:$A$300,$A202,$F$5:$F$300))</f>
        <v/>
      </c>
      <c r="K202" s="10">
        <f>IF($A202="","",IF(SUMPRODUCT(($A$5:$A$300=$A202)*(ISNUMBER($D$5:$D$300)+ISNUMBER($E$5:$E$300)))=0,"",H202+I202-J202))</f>
        <v/>
      </c>
      <c r="L202" s="11">
        <f>IF(OR($A202="",K202=""),"",K202-G202)</f>
        <v/>
      </c>
      <c r="M202" s="12">
        <f>IF($A202="","",IF(K202="","not counted yet",IF(ABS(L202)&lt;=$B$3,"Balanced",IF(L202&lt;0,"Short","Over"))))</f>
        <v/>
      </c>
    </row>
    <row r="203">
      <c r="A203" s="13" t="n"/>
      <c r="B203" s="14" t="n"/>
      <c r="C203" s="5" t="n"/>
      <c r="D203" s="5" t="n"/>
      <c r="E203" s="5" t="n"/>
      <c r="F203" s="5" t="n"/>
      <c r="G203" s="10">
        <f>IF($A203="","",SUMIF($A$5:$A$300,$A203,$C$5:$C$300))</f>
        <v/>
      </c>
      <c r="H203" s="10">
        <f>IF($A203="","",SUMIF($A$5:$A$300,$A203,$D$5:$D$300))</f>
        <v/>
      </c>
      <c r="I203" s="10">
        <f>IF($A203="","",SUMIF($A$5:$A$300,$A203,$E$5:$E$300))</f>
        <v/>
      </c>
      <c r="J203" s="10">
        <f>IF($A203="","",SUMIF($A$5:$A$300,$A203,$F$5:$F$300))</f>
        <v/>
      </c>
      <c r="K203" s="10">
        <f>IF($A203="","",IF(SUMPRODUCT(($A$5:$A$300=$A203)*(ISNUMBER($D$5:$D$300)+ISNUMBER($E$5:$E$300)))=0,"",H203+I203-J203))</f>
        <v/>
      </c>
      <c r="L203" s="11">
        <f>IF(OR($A203="",K203=""),"",K203-G203)</f>
        <v/>
      </c>
      <c r="M203" s="12">
        <f>IF($A203="","",IF(K203="","not counted yet",IF(ABS(L203)&lt;=$B$3,"Balanced",IF(L203&lt;0,"Short","Over"))))</f>
        <v/>
      </c>
    </row>
    <row r="204">
      <c r="A204" s="13" t="n"/>
      <c r="B204" s="14" t="n"/>
      <c r="C204" s="5" t="n"/>
      <c r="D204" s="5" t="n"/>
      <c r="E204" s="5" t="n"/>
      <c r="F204" s="5" t="n"/>
      <c r="G204" s="10">
        <f>IF($A204="","",SUMIF($A$5:$A$300,$A204,$C$5:$C$300))</f>
        <v/>
      </c>
      <c r="H204" s="10">
        <f>IF($A204="","",SUMIF($A$5:$A$300,$A204,$D$5:$D$300))</f>
        <v/>
      </c>
      <c r="I204" s="10">
        <f>IF($A204="","",SUMIF($A$5:$A$300,$A204,$E$5:$E$300))</f>
        <v/>
      </c>
      <c r="J204" s="10">
        <f>IF($A204="","",SUMIF($A$5:$A$300,$A204,$F$5:$F$300))</f>
        <v/>
      </c>
      <c r="K204" s="10">
        <f>IF($A204="","",IF(SUMPRODUCT(($A$5:$A$300=$A204)*(ISNUMBER($D$5:$D$300)+ISNUMBER($E$5:$E$300)))=0,"",H204+I204-J204))</f>
        <v/>
      </c>
      <c r="L204" s="11">
        <f>IF(OR($A204="",K204=""),"",K204-G204)</f>
        <v/>
      </c>
      <c r="M204" s="12">
        <f>IF($A204="","",IF(K204="","not counted yet",IF(ABS(L204)&lt;=$B$3,"Balanced",IF(L204&lt;0,"Short","Over"))))</f>
        <v/>
      </c>
    </row>
    <row r="205">
      <c r="A205" s="13" t="n"/>
      <c r="B205" s="14" t="n"/>
      <c r="C205" s="5" t="n"/>
      <c r="D205" s="5" t="n"/>
      <c r="E205" s="5" t="n"/>
      <c r="F205" s="5" t="n"/>
      <c r="G205" s="10">
        <f>IF($A205="","",SUMIF($A$5:$A$300,$A205,$C$5:$C$300))</f>
        <v/>
      </c>
      <c r="H205" s="10">
        <f>IF($A205="","",SUMIF($A$5:$A$300,$A205,$D$5:$D$300))</f>
        <v/>
      </c>
      <c r="I205" s="10">
        <f>IF($A205="","",SUMIF($A$5:$A$300,$A205,$E$5:$E$300))</f>
        <v/>
      </c>
      <c r="J205" s="10">
        <f>IF($A205="","",SUMIF($A$5:$A$300,$A205,$F$5:$F$300))</f>
        <v/>
      </c>
      <c r="K205" s="10">
        <f>IF($A205="","",IF(SUMPRODUCT(($A$5:$A$300=$A205)*(ISNUMBER($D$5:$D$300)+ISNUMBER($E$5:$E$300)))=0,"",H205+I205-J205))</f>
        <v/>
      </c>
      <c r="L205" s="11">
        <f>IF(OR($A205="",K205=""),"",K205-G205)</f>
        <v/>
      </c>
      <c r="M205" s="12">
        <f>IF($A205="","",IF(K205="","not counted yet",IF(ABS(L205)&lt;=$B$3,"Balanced",IF(L205&lt;0,"Short","Over"))))</f>
        <v/>
      </c>
    </row>
    <row r="206">
      <c r="A206" s="13" t="n"/>
      <c r="B206" s="14" t="n"/>
      <c r="C206" s="5" t="n"/>
      <c r="D206" s="5" t="n"/>
      <c r="E206" s="5" t="n"/>
      <c r="F206" s="5" t="n"/>
      <c r="G206" s="10">
        <f>IF($A206="","",SUMIF($A$5:$A$300,$A206,$C$5:$C$300))</f>
        <v/>
      </c>
      <c r="H206" s="10">
        <f>IF($A206="","",SUMIF($A$5:$A$300,$A206,$D$5:$D$300))</f>
        <v/>
      </c>
      <c r="I206" s="10">
        <f>IF($A206="","",SUMIF($A$5:$A$300,$A206,$E$5:$E$300))</f>
        <v/>
      </c>
      <c r="J206" s="10">
        <f>IF($A206="","",SUMIF($A$5:$A$300,$A206,$F$5:$F$300))</f>
        <v/>
      </c>
      <c r="K206" s="10">
        <f>IF($A206="","",IF(SUMPRODUCT(($A$5:$A$300=$A206)*(ISNUMBER($D$5:$D$300)+ISNUMBER($E$5:$E$300)))=0,"",H206+I206-J206))</f>
        <v/>
      </c>
      <c r="L206" s="11">
        <f>IF(OR($A206="",K206=""),"",K206-G206)</f>
        <v/>
      </c>
      <c r="M206" s="12">
        <f>IF($A206="","",IF(K206="","not counted yet",IF(ABS(L206)&lt;=$B$3,"Balanced",IF(L206&lt;0,"Short","Over"))))</f>
        <v/>
      </c>
    </row>
    <row r="207">
      <c r="A207" s="13" t="n"/>
      <c r="B207" s="14" t="n"/>
      <c r="C207" s="5" t="n"/>
      <c r="D207" s="5" t="n"/>
      <c r="E207" s="5" t="n"/>
      <c r="F207" s="5" t="n"/>
      <c r="G207" s="10">
        <f>IF($A207="","",SUMIF($A$5:$A$300,$A207,$C$5:$C$300))</f>
        <v/>
      </c>
      <c r="H207" s="10">
        <f>IF($A207="","",SUMIF($A$5:$A$300,$A207,$D$5:$D$300))</f>
        <v/>
      </c>
      <c r="I207" s="10">
        <f>IF($A207="","",SUMIF($A$5:$A$300,$A207,$E$5:$E$300))</f>
        <v/>
      </c>
      <c r="J207" s="10">
        <f>IF($A207="","",SUMIF($A$5:$A$300,$A207,$F$5:$F$300))</f>
        <v/>
      </c>
      <c r="K207" s="10">
        <f>IF($A207="","",IF(SUMPRODUCT(($A$5:$A$300=$A207)*(ISNUMBER($D$5:$D$300)+ISNUMBER($E$5:$E$300)))=0,"",H207+I207-J207))</f>
        <v/>
      </c>
      <c r="L207" s="11">
        <f>IF(OR($A207="",K207=""),"",K207-G207)</f>
        <v/>
      </c>
      <c r="M207" s="12">
        <f>IF($A207="","",IF(K207="","not counted yet",IF(ABS(L207)&lt;=$B$3,"Balanced",IF(L207&lt;0,"Short","Over"))))</f>
        <v/>
      </c>
    </row>
    <row r="208">
      <c r="A208" s="13" t="n"/>
      <c r="B208" s="14" t="n"/>
      <c r="C208" s="5" t="n"/>
      <c r="D208" s="5" t="n"/>
      <c r="E208" s="5" t="n"/>
      <c r="F208" s="5" t="n"/>
      <c r="G208" s="10">
        <f>IF($A208="","",SUMIF($A$5:$A$300,$A208,$C$5:$C$300))</f>
        <v/>
      </c>
      <c r="H208" s="10">
        <f>IF($A208="","",SUMIF($A$5:$A$300,$A208,$D$5:$D$300))</f>
        <v/>
      </c>
      <c r="I208" s="10">
        <f>IF($A208="","",SUMIF($A$5:$A$300,$A208,$E$5:$E$300))</f>
        <v/>
      </c>
      <c r="J208" s="10">
        <f>IF($A208="","",SUMIF($A$5:$A$300,$A208,$F$5:$F$300))</f>
        <v/>
      </c>
      <c r="K208" s="10">
        <f>IF($A208="","",IF(SUMPRODUCT(($A$5:$A$300=$A208)*(ISNUMBER($D$5:$D$300)+ISNUMBER($E$5:$E$300)))=0,"",H208+I208-J208))</f>
        <v/>
      </c>
      <c r="L208" s="11">
        <f>IF(OR($A208="",K208=""),"",K208-G208)</f>
        <v/>
      </c>
      <c r="M208" s="12">
        <f>IF($A208="","",IF(K208="","not counted yet",IF(ABS(L208)&lt;=$B$3,"Balanced",IF(L208&lt;0,"Short","Over"))))</f>
        <v/>
      </c>
    </row>
    <row r="209">
      <c r="A209" s="13" t="n"/>
      <c r="B209" s="14" t="n"/>
      <c r="C209" s="5" t="n"/>
      <c r="D209" s="5" t="n"/>
      <c r="E209" s="5" t="n"/>
      <c r="F209" s="5" t="n"/>
      <c r="G209" s="10">
        <f>IF($A209="","",SUMIF($A$5:$A$300,$A209,$C$5:$C$300))</f>
        <v/>
      </c>
      <c r="H209" s="10">
        <f>IF($A209="","",SUMIF($A$5:$A$300,$A209,$D$5:$D$300))</f>
        <v/>
      </c>
      <c r="I209" s="10">
        <f>IF($A209="","",SUMIF($A$5:$A$300,$A209,$E$5:$E$300))</f>
        <v/>
      </c>
      <c r="J209" s="10">
        <f>IF($A209="","",SUMIF($A$5:$A$300,$A209,$F$5:$F$300))</f>
        <v/>
      </c>
      <c r="K209" s="10">
        <f>IF($A209="","",IF(SUMPRODUCT(($A$5:$A$300=$A209)*(ISNUMBER($D$5:$D$300)+ISNUMBER($E$5:$E$300)))=0,"",H209+I209-J209))</f>
        <v/>
      </c>
      <c r="L209" s="11">
        <f>IF(OR($A209="",K209=""),"",K209-G209)</f>
        <v/>
      </c>
      <c r="M209" s="12">
        <f>IF($A209="","",IF(K209="","not counted yet",IF(ABS(L209)&lt;=$B$3,"Balanced",IF(L209&lt;0,"Short","Over"))))</f>
        <v/>
      </c>
    </row>
    <row r="210">
      <c r="A210" s="13" t="n"/>
      <c r="B210" s="14" t="n"/>
      <c r="C210" s="5" t="n"/>
      <c r="D210" s="5" t="n"/>
      <c r="E210" s="5" t="n"/>
      <c r="F210" s="5" t="n"/>
      <c r="G210" s="10">
        <f>IF($A210="","",SUMIF($A$5:$A$300,$A210,$C$5:$C$300))</f>
        <v/>
      </c>
      <c r="H210" s="10">
        <f>IF($A210="","",SUMIF($A$5:$A$300,$A210,$D$5:$D$300))</f>
        <v/>
      </c>
      <c r="I210" s="10">
        <f>IF($A210="","",SUMIF($A$5:$A$300,$A210,$E$5:$E$300))</f>
        <v/>
      </c>
      <c r="J210" s="10">
        <f>IF($A210="","",SUMIF($A$5:$A$300,$A210,$F$5:$F$300))</f>
        <v/>
      </c>
      <c r="K210" s="10">
        <f>IF($A210="","",IF(SUMPRODUCT(($A$5:$A$300=$A210)*(ISNUMBER($D$5:$D$300)+ISNUMBER($E$5:$E$300)))=0,"",H210+I210-J210))</f>
        <v/>
      </c>
      <c r="L210" s="11">
        <f>IF(OR($A210="",K210=""),"",K210-G210)</f>
        <v/>
      </c>
      <c r="M210" s="12">
        <f>IF($A210="","",IF(K210="","not counted yet",IF(ABS(L210)&lt;=$B$3,"Balanced",IF(L210&lt;0,"Short","Over"))))</f>
        <v/>
      </c>
    </row>
    <row r="211">
      <c r="A211" s="13" t="n"/>
      <c r="B211" s="14" t="n"/>
      <c r="C211" s="5" t="n"/>
      <c r="D211" s="5" t="n"/>
      <c r="E211" s="5" t="n"/>
      <c r="F211" s="5" t="n"/>
      <c r="G211" s="10">
        <f>IF($A211="","",SUMIF($A$5:$A$300,$A211,$C$5:$C$300))</f>
        <v/>
      </c>
      <c r="H211" s="10">
        <f>IF($A211="","",SUMIF($A$5:$A$300,$A211,$D$5:$D$300))</f>
        <v/>
      </c>
      <c r="I211" s="10">
        <f>IF($A211="","",SUMIF($A$5:$A$300,$A211,$E$5:$E$300))</f>
        <v/>
      </c>
      <c r="J211" s="10">
        <f>IF($A211="","",SUMIF($A$5:$A$300,$A211,$F$5:$F$300))</f>
        <v/>
      </c>
      <c r="K211" s="10">
        <f>IF($A211="","",IF(SUMPRODUCT(($A$5:$A$300=$A211)*(ISNUMBER($D$5:$D$300)+ISNUMBER($E$5:$E$300)))=0,"",H211+I211-J211))</f>
        <v/>
      </c>
      <c r="L211" s="11">
        <f>IF(OR($A211="",K211=""),"",K211-G211)</f>
        <v/>
      </c>
      <c r="M211" s="12">
        <f>IF($A211="","",IF(K211="","not counted yet",IF(ABS(L211)&lt;=$B$3,"Balanced",IF(L211&lt;0,"Short","Over"))))</f>
        <v/>
      </c>
    </row>
    <row r="212">
      <c r="A212" s="13" t="n"/>
      <c r="B212" s="14" t="n"/>
      <c r="C212" s="5" t="n"/>
      <c r="D212" s="5" t="n"/>
      <c r="E212" s="5" t="n"/>
      <c r="F212" s="5" t="n"/>
      <c r="G212" s="10">
        <f>IF($A212="","",SUMIF($A$5:$A$300,$A212,$C$5:$C$300))</f>
        <v/>
      </c>
      <c r="H212" s="10">
        <f>IF($A212="","",SUMIF($A$5:$A$300,$A212,$D$5:$D$300))</f>
        <v/>
      </c>
      <c r="I212" s="10">
        <f>IF($A212="","",SUMIF($A$5:$A$300,$A212,$E$5:$E$300))</f>
        <v/>
      </c>
      <c r="J212" s="10">
        <f>IF($A212="","",SUMIF($A$5:$A$300,$A212,$F$5:$F$300))</f>
        <v/>
      </c>
      <c r="K212" s="10">
        <f>IF($A212="","",IF(SUMPRODUCT(($A$5:$A$300=$A212)*(ISNUMBER($D$5:$D$300)+ISNUMBER($E$5:$E$300)))=0,"",H212+I212-J212))</f>
        <v/>
      </c>
      <c r="L212" s="11">
        <f>IF(OR($A212="",K212=""),"",K212-G212)</f>
        <v/>
      </c>
      <c r="M212" s="12">
        <f>IF($A212="","",IF(K212="","not counted yet",IF(ABS(L212)&lt;=$B$3,"Balanced",IF(L212&lt;0,"Short","Over"))))</f>
        <v/>
      </c>
    </row>
    <row r="213">
      <c r="A213" s="13" t="n"/>
      <c r="B213" s="14" t="n"/>
      <c r="C213" s="5" t="n"/>
      <c r="D213" s="5" t="n"/>
      <c r="E213" s="5" t="n"/>
      <c r="F213" s="5" t="n"/>
      <c r="G213" s="10">
        <f>IF($A213="","",SUMIF($A$5:$A$300,$A213,$C$5:$C$300))</f>
        <v/>
      </c>
      <c r="H213" s="10">
        <f>IF($A213="","",SUMIF($A$5:$A$300,$A213,$D$5:$D$300))</f>
        <v/>
      </c>
      <c r="I213" s="10">
        <f>IF($A213="","",SUMIF($A$5:$A$300,$A213,$E$5:$E$300))</f>
        <v/>
      </c>
      <c r="J213" s="10">
        <f>IF($A213="","",SUMIF($A$5:$A$300,$A213,$F$5:$F$300))</f>
        <v/>
      </c>
      <c r="K213" s="10">
        <f>IF($A213="","",IF(SUMPRODUCT(($A$5:$A$300=$A213)*(ISNUMBER($D$5:$D$300)+ISNUMBER($E$5:$E$300)))=0,"",H213+I213-J213))</f>
        <v/>
      </c>
      <c r="L213" s="11">
        <f>IF(OR($A213="",K213=""),"",K213-G213)</f>
        <v/>
      </c>
      <c r="M213" s="12">
        <f>IF($A213="","",IF(K213="","not counted yet",IF(ABS(L213)&lt;=$B$3,"Balanced",IF(L213&lt;0,"Short","Over"))))</f>
        <v/>
      </c>
    </row>
    <row r="214">
      <c r="A214" s="13" t="n"/>
      <c r="B214" s="14" t="n"/>
      <c r="C214" s="5" t="n"/>
      <c r="D214" s="5" t="n"/>
      <c r="E214" s="5" t="n"/>
      <c r="F214" s="5" t="n"/>
      <c r="G214" s="10">
        <f>IF($A214="","",SUMIF($A$5:$A$300,$A214,$C$5:$C$300))</f>
        <v/>
      </c>
      <c r="H214" s="10">
        <f>IF($A214="","",SUMIF($A$5:$A$300,$A214,$D$5:$D$300))</f>
        <v/>
      </c>
      <c r="I214" s="10">
        <f>IF($A214="","",SUMIF($A$5:$A$300,$A214,$E$5:$E$300))</f>
        <v/>
      </c>
      <c r="J214" s="10">
        <f>IF($A214="","",SUMIF($A$5:$A$300,$A214,$F$5:$F$300))</f>
        <v/>
      </c>
      <c r="K214" s="10">
        <f>IF($A214="","",IF(SUMPRODUCT(($A$5:$A$300=$A214)*(ISNUMBER($D$5:$D$300)+ISNUMBER($E$5:$E$300)))=0,"",H214+I214-J214))</f>
        <v/>
      </c>
      <c r="L214" s="11">
        <f>IF(OR($A214="",K214=""),"",K214-G214)</f>
        <v/>
      </c>
      <c r="M214" s="12">
        <f>IF($A214="","",IF(K214="","not counted yet",IF(ABS(L214)&lt;=$B$3,"Balanced",IF(L214&lt;0,"Short","Over"))))</f>
        <v/>
      </c>
    </row>
    <row r="215">
      <c r="A215" s="13" t="n"/>
      <c r="B215" s="14" t="n"/>
      <c r="C215" s="5" t="n"/>
      <c r="D215" s="5" t="n"/>
      <c r="E215" s="5" t="n"/>
      <c r="F215" s="5" t="n"/>
      <c r="G215" s="10">
        <f>IF($A215="","",SUMIF($A$5:$A$300,$A215,$C$5:$C$300))</f>
        <v/>
      </c>
      <c r="H215" s="10">
        <f>IF($A215="","",SUMIF($A$5:$A$300,$A215,$D$5:$D$300))</f>
        <v/>
      </c>
      <c r="I215" s="10">
        <f>IF($A215="","",SUMIF($A$5:$A$300,$A215,$E$5:$E$300))</f>
        <v/>
      </c>
      <c r="J215" s="10">
        <f>IF($A215="","",SUMIF($A$5:$A$300,$A215,$F$5:$F$300))</f>
        <v/>
      </c>
      <c r="K215" s="10">
        <f>IF($A215="","",IF(SUMPRODUCT(($A$5:$A$300=$A215)*(ISNUMBER($D$5:$D$300)+ISNUMBER($E$5:$E$300)))=0,"",H215+I215-J215))</f>
        <v/>
      </c>
      <c r="L215" s="11">
        <f>IF(OR($A215="",K215=""),"",K215-G215)</f>
        <v/>
      </c>
      <c r="M215" s="12">
        <f>IF($A215="","",IF(K215="","not counted yet",IF(ABS(L215)&lt;=$B$3,"Balanced",IF(L215&lt;0,"Short","Over"))))</f>
        <v/>
      </c>
    </row>
    <row r="216">
      <c r="A216" s="13" t="n"/>
      <c r="B216" s="14" t="n"/>
      <c r="C216" s="5" t="n"/>
      <c r="D216" s="5" t="n"/>
      <c r="E216" s="5" t="n"/>
      <c r="F216" s="5" t="n"/>
      <c r="G216" s="10">
        <f>IF($A216="","",SUMIF($A$5:$A$300,$A216,$C$5:$C$300))</f>
        <v/>
      </c>
      <c r="H216" s="10">
        <f>IF($A216="","",SUMIF($A$5:$A$300,$A216,$D$5:$D$300))</f>
        <v/>
      </c>
      <c r="I216" s="10">
        <f>IF($A216="","",SUMIF($A$5:$A$300,$A216,$E$5:$E$300))</f>
        <v/>
      </c>
      <c r="J216" s="10">
        <f>IF($A216="","",SUMIF($A$5:$A$300,$A216,$F$5:$F$300))</f>
        <v/>
      </c>
      <c r="K216" s="10">
        <f>IF($A216="","",IF(SUMPRODUCT(($A$5:$A$300=$A216)*(ISNUMBER($D$5:$D$300)+ISNUMBER($E$5:$E$300)))=0,"",H216+I216-J216))</f>
        <v/>
      </c>
      <c r="L216" s="11">
        <f>IF(OR($A216="",K216=""),"",K216-G216)</f>
        <v/>
      </c>
      <c r="M216" s="12">
        <f>IF($A216="","",IF(K216="","not counted yet",IF(ABS(L216)&lt;=$B$3,"Balanced",IF(L216&lt;0,"Short","Over"))))</f>
        <v/>
      </c>
    </row>
    <row r="217">
      <c r="A217" s="13" t="n"/>
      <c r="B217" s="14" t="n"/>
      <c r="C217" s="5" t="n"/>
      <c r="D217" s="5" t="n"/>
      <c r="E217" s="5" t="n"/>
      <c r="F217" s="5" t="n"/>
      <c r="G217" s="10">
        <f>IF($A217="","",SUMIF($A$5:$A$300,$A217,$C$5:$C$300))</f>
        <v/>
      </c>
      <c r="H217" s="10">
        <f>IF($A217="","",SUMIF($A$5:$A$300,$A217,$D$5:$D$300))</f>
        <v/>
      </c>
      <c r="I217" s="10">
        <f>IF($A217="","",SUMIF($A$5:$A$300,$A217,$E$5:$E$300))</f>
        <v/>
      </c>
      <c r="J217" s="10">
        <f>IF($A217="","",SUMIF($A$5:$A$300,$A217,$F$5:$F$300))</f>
        <v/>
      </c>
      <c r="K217" s="10">
        <f>IF($A217="","",IF(SUMPRODUCT(($A$5:$A$300=$A217)*(ISNUMBER($D$5:$D$300)+ISNUMBER($E$5:$E$300)))=0,"",H217+I217-J217))</f>
        <v/>
      </c>
      <c r="L217" s="11">
        <f>IF(OR($A217="",K217=""),"",K217-G217)</f>
        <v/>
      </c>
      <c r="M217" s="12">
        <f>IF($A217="","",IF(K217="","not counted yet",IF(ABS(L217)&lt;=$B$3,"Balanced",IF(L217&lt;0,"Short","Over"))))</f>
        <v/>
      </c>
    </row>
    <row r="218">
      <c r="A218" s="13" t="n"/>
      <c r="B218" s="14" t="n"/>
      <c r="C218" s="5" t="n"/>
      <c r="D218" s="5" t="n"/>
      <c r="E218" s="5" t="n"/>
      <c r="F218" s="5" t="n"/>
      <c r="G218" s="10">
        <f>IF($A218="","",SUMIF($A$5:$A$300,$A218,$C$5:$C$300))</f>
        <v/>
      </c>
      <c r="H218" s="10">
        <f>IF($A218="","",SUMIF($A$5:$A$300,$A218,$D$5:$D$300))</f>
        <v/>
      </c>
      <c r="I218" s="10">
        <f>IF($A218="","",SUMIF($A$5:$A$300,$A218,$E$5:$E$300))</f>
        <v/>
      </c>
      <c r="J218" s="10">
        <f>IF($A218="","",SUMIF($A$5:$A$300,$A218,$F$5:$F$300))</f>
        <v/>
      </c>
      <c r="K218" s="10">
        <f>IF($A218="","",IF(SUMPRODUCT(($A$5:$A$300=$A218)*(ISNUMBER($D$5:$D$300)+ISNUMBER($E$5:$E$300)))=0,"",H218+I218-J218))</f>
        <v/>
      </c>
      <c r="L218" s="11">
        <f>IF(OR($A218="",K218=""),"",K218-G218)</f>
        <v/>
      </c>
      <c r="M218" s="12">
        <f>IF($A218="","",IF(K218="","not counted yet",IF(ABS(L218)&lt;=$B$3,"Balanced",IF(L218&lt;0,"Short","Over"))))</f>
        <v/>
      </c>
    </row>
    <row r="219">
      <c r="A219" s="13" t="n"/>
      <c r="B219" s="14" t="n"/>
      <c r="C219" s="5" t="n"/>
      <c r="D219" s="5" t="n"/>
      <c r="E219" s="5" t="n"/>
      <c r="F219" s="5" t="n"/>
      <c r="G219" s="10">
        <f>IF($A219="","",SUMIF($A$5:$A$300,$A219,$C$5:$C$300))</f>
        <v/>
      </c>
      <c r="H219" s="10">
        <f>IF($A219="","",SUMIF($A$5:$A$300,$A219,$D$5:$D$300))</f>
        <v/>
      </c>
      <c r="I219" s="10">
        <f>IF($A219="","",SUMIF($A$5:$A$300,$A219,$E$5:$E$300))</f>
        <v/>
      </c>
      <c r="J219" s="10">
        <f>IF($A219="","",SUMIF($A$5:$A$300,$A219,$F$5:$F$300))</f>
        <v/>
      </c>
      <c r="K219" s="10">
        <f>IF($A219="","",IF(SUMPRODUCT(($A$5:$A$300=$A219)*(ISNUMBER($D$5:$D$300)+ISNUMBER($E$5:$E$300)))=0,"",H219+I219-J219))</f>
        <v/>
      </c>
      <c r="L219" s="11">
        <f>IF(OR($A219="",K219=""),"",K219-G219)</f>
        <v/>
      </c>
      <c r="M219" s="12">
        <f>IF($A219="","",IF(K219="","not counted yet",IF(ABS(L219)&lt;=$B$3,"Balanced",IF(L219&lt;0,"Short","Over"))))</f>
        <v/>
      </c>
    </row>
    <row r="220">
      <c r="A220" s="13" t="n"/>
      <c r="B220" s="14" t="n"/>
      <c r="C220" s="5" t="n"/>
      <c r="D220" s="5" t="n"/>
      <c r="E220" s="5" t="n"/>
      <c r="F220" s="5" t="n"/>
      <c r="G220" s="10">
        <f>IF($A220="","",SUMIF($A$5:$A$300,$A220,$C$5:$C$300))</f>
        <v/>
      </c>
      <c r="H220" s="10">
        <f>IF($A220="","",SUMIF($A$5:$A$300,$A220,$D$5:$D$300))</f>
        <v/>
      </c>
      <c r="I220" s="10">
        <f>IF($A220="","",SUMIF($A$5:$A$300,$A220,$E$5:$E$300))</f>
        <v/>
      </c>
      <c r="J220" s="10">
        <f>IF($A220="","",SUMIF($A$5:$A$300,$A220,$F$5:$F$300))</f>
        <v/>
      </c>
      <c r="K220" s="10">
        <f>IF($A220="","",IF(SUMPRODUCT(($A$5:$A$300=$A220)*(ISNUMBER($D$5:$D$300)+ISNUMBER($E$5:$E$300)))=0,"",H220+I220-J220))</f>
        <v/>
      </c>
      <c r="L220" s="11">
        <f>IF(OR($A220="",K220=""),"",K220-G220)</f>
        <v/>
      </c>
      <c r="M220" s="12">
        <f>IF($A220="","",IF(K220="","not counted yet",IF(ABS(L220)&lt;=$B$3,"Balanced",IF(L220&lt;0,"Short","Over"))))</f>
        <v/>
      </c>
    </row>
    <row r="221">
      <c r="A221" s="13" t="n"/>
      <c r="B221" s="14" t="n"/>
      <c r="C221" s="5" t="n"/>
      <c r="D221" s="5" t="n"/>
      <c r="E221" s="5" t="n"/>
      <c r="F221" s="5" t="n"/>
      <c r="G221" s="10">
        <f>IF($A221="","",SUMIF($A$5:$A$300,$A221,$C$5:$C$300))</f>
        <v/>
      </c>
      <c r="H221" s="10">
        <f>IF($A221="","",SUMIF($A$5:$A$300,$A221,$D$5:$D$300))</f>
        <v/>
      </c>
      <c r="I221" s="10">
        <f>IF($A221="","",SUMIF($A$5:$A$300,$A221,$E$5:$E$300))</f>
        <v/>
      </c>
      <c r="J221" s="10">
        <f>IF($A221="","",SUMIF($A$5:$A$300,$A221,$F$5:$F$300))</f>
        <v/>
      </c>
      <c r="K221" s="10">
        <f>IF($A221="","",IF(SUMPRODUCT(($A$5:$A$300=$A221)*(ISNUMBER($D$5:$D$300)+ISNUMBER($E$5:$E$300)))=0,"",H221+I221-J221))</f>
        <v/>
      </c>
      <c r="L221" s="11">
        <f>IF(OR($A221="",K221=""),"",K221-G221)</f>
        <v/>
      </c>
      <c r="M221" s="12">
        <f>IF($A221="","",IF(K221="","not counted yet",IF(ABS(L221)&lt;=$B$3,"Balanced",IF(L221&lt;0,"Short","Over"))))</f>
        <v/>
      </c>
    </row>
    <row r="222">
      <c r="A222" s="13" t="n"/>
      <c r="B222" s="14" t="n"/>
      <c r="C222" s="5" t="n"/>
      <c r="D222" s="5" t="n"/>
      <c r="E222" s="5" t="n"/>
      <c r="F222" s="5" t="n"/>
      <c r="G222" s="10">
        <f>IF($A222="","",SUMIF($A$5:$A$300,$A222,$C$5:$C$300))</f>
        <v/>
      </c>
      <c r="H222" s="10">
        <f>IF($A222="","",SUMIF($A$5:$A$300,$A222,$D$5:$D$300))</f>
        <v/>
      </c>
      <c r="I222" s="10">
        <f>IF($A222="","",SUMIF($A$5:$A$300,$A222,$E$5:$E$300))</f>
        <v/>
      </c>
      <c r="J222" s="10">
        <f>IF($A222="","",SUMIF($A$5:$A$300,$A222,$F$5:$F$300))</f>
        <v/>
      </c>
      <c r="K222" s="10">
        <f>IF($A222="","",IF(SUMPRODUCT(($A$5:$A$300=$A222)*(ISNUMBER($D$5:$D$300)+ISNUMBER($E$5:$E$300)))=0,"",H222+I222-J222))</f>
        <v/>
      </c>
      <c r="L222" s="11">
        <f>IF(OR($A222="",K222=""),"",K222-G222)</f>
        <v/>
      </c>
      <c r="M222" s="12">
        <f>IF($A222="","",IF(K222="","not counted yet",IF(ABS(L222)&lt;=$B$3,"Balanced",IF(L222&lt;0,"Short","Over"))))</f>
        <v/>
      </c>
    </row>
    <row r="223">
      <c r="A223" s="13" t="n"/>
      <c r="B223" s="14" t="n"/>
      <c r="C223" s="5" t="n"/>
      <c r="D223" s="5" t="n"/>
      <c r="E223" s="5" t="n"/>
      <c r="F223" s="5" t="n"/>
      <c r="G223" s="10">
        <f>IF($A223="","",SUMIF($A$5:$A$300,$A223,$C$5:$C$300))</f>
        <v/>
      </c>
      <c r="H223" s="10">
        <f>IF($A223="","",SUMIF($A$5:$A$300,$A223,$D$5:$D$300))</f>
        <v/>
      </c>
      <c r="I223" s="10">
        <f>IF($A223="","",SUMIF($A$5:$A$300,$A223,$E$5:$E$300))</f>
        <v/>
      </c>
      <c r="J223" s="10">
        <f>IF($A223="","",SUMIF($A$5:$A$300,$A223,$F$5:$F$300))</f>
        <v/>
      </c>
      <c r="K223" s="10">
        <f>IF($A223="","",IF(SUMPRODUCT(($A$5:$A$300=$A223)*(ISNUMBER($D$5:$D$300)+ISNUMBER($E$5:$E$300)))=0,"",H223+I223-J223))</f>
        <v/>
      </c>
      <c r="L223" s="11">
        <f>IF(OR($A223="",K223=""),"",K223-G223)</f>
        <v/>
      </c>
      <c r="M223" s="12">
        <f>IF($A223="","",IF(K223="","not counted yet",IF(ABS(L223)&lt;=$B$3,"Balanced",IF(L223&lt;0,"Short","Over"))))</f>
        <v/>
      </c>
    </row>
    <row r="224">
      <c r="A224" s="13" t="n"/>
      <c r="B224" s="14" t="n"/>
      <c r="C224" s="5" t="n"/>
      <c r="D224" s="5" t="n"/>
      <c r="E224" s="5" t="n"/>
      <c r="F224" s="5" t="n"/>
      <c r="G224" s="10">
        <f>IF($A224="","",SUMIF($A$5:$A$300,$A224,$C$5:$C$300))</f>
        <v/>
      </c>
      <c r="H224" s="10">
        <f>IF($A224="","",SUMIF($A$5:$A$300,$A224,$D$5:$D$300))</f>
        <v/>
      </c>
      <c r="I224" s="10">
        <f>IF($A224="","",SUMIF($A$5:$A$300,$A224,$E$5:$E$300))</f>
        <v/>
      </c>
      <c r="J224" s="10">
        <f>IF($A224="","",SUMIF($A$5:$A$300,$A224,$F$5:$F$300))</f>
        <v/>
      </c>
      <c r="K224" s="10">
        <f>IF($A224="","",IF(SUMPRODUCT(($A$5:$A$300=$A224)*(ISNUMBER($D$5:$D$300)+ISNUMBER($E$5:$E$300)))=0,"",H224+I224-J224))</f>
        <v/>
      </c>
      <c r="L224" s="11">
        <f>IF(OR($A224="",K224=""),"",K224-G224)</f>
        <v/>
      </c>
      <c r="M224" s="12">
        <f>IF($A224="","",IF(K224="","not counted yet",IF(ABS(L224)&lt;=$B$3,"Balanced",IF(L224&lt;0,"Short","Over"))))</f>
        <v/>
      </c>
    </row>
    <row r="225">
      <c r="A225" s="13" t="n"/>
      <c r="B225" s="14" t="n"/>
      <c r="C225" s="5" t="n"/>
      <c r="D225" s="5" t="n"/>
      <c r="E225" s="5" t="n"/>
      <c r="F225" s="5" t="n"/>
      <c r="G225" s="10">
        <f>IF($A225="","",SUMIF($A$5:$A$300,$A225,$C$5:$C$300))</f>
        <v/>
      </c>
      <c r="H225" s="10">
        <f>IF($A225="","",SUMIF($A$5:$A$300,$A225,$D$5:$D$300))</f>
        <v/>
      </c>
      <c r="I225" s="10">
        <f>IF($A225="","",SUMIF($A$5:$A$300,$A225,$E$5:$E$300))</f>
        <v/>
      </c>
      <c r="J225" s="10">
        <f>IF($A225="","",SUMIF($A$5:$A$300,$A225,$F$5:$F$300))</f>
        <v/>
      </c>
      <c r="K225" s="10">
        <f>IF($A225="","",IF(SUMPRODUCT(($A$5:$A$300=$A225)*(ISNUMBER($D$5:$D$300)+ISNUMBER($E$5:$E$300)))=0,"",H225+I225-J225))</f>
        <v/>
      </c>
      <c r="L225" s="11">
        <f>IF(OR($A225="",K225=""),"",K225-G225)</f>
        <v/>
      </c>
      <c r="M225" s="12">
        <f>IF($A225="","",IF(K225="","not counted yet",IF(ABS(L225)&lt;=$B$3,"Balanced",IF(L225&lt;0,"Short","Over"))))</f>
        <v/>
      </c>
    </row>
    <row r="226">
      <c r="A226" s="13" t="n"/>
      <c r="B226" s="14" t="n"/>
      <c r="C226" s="5" t="n"/>
      <c r="D226" s="5" t="n"/>
      <c r="E226" s="5" t="n"/>
      <c r="F226" s="5" t="n"/>
      <c r="G226" s="10">
        <f>IF($A226="","",SUMIF($A$5:$A$300,$A226,$C$5:$C$300))</f>
        <v/>
      </c>
      <c r="H226" s="10">
        <f>IF($A226="","",SUMIF($A$5:$A$300,$A226,$D$5:$D$300))</f>
        <v/>
      </c>
      <c r="I226" s="10">
        <f>IF($A226="","",SUMIF($A$5:$A$300,$A226,$E$5:$E$300))</f>
        <v/>
      </c>
      <c r="J226" s="10">
        <f>IF($A226="","",SUMIF($A$5:$A$300,$A226,$F$5:$F$300))</f>
        <v/>
      </c>
      <c r="K226" s="10">
        <f>IF($A226="","",IF(SUMPRODUCT(($A$5:$A$300=$A226)*(ISNUMBER($D$5:$D$300)+ISNUMBER($E$5:$E$300)))=0,"",H226+I226-J226))</f>
        <v/>
      </c>
      <c r="L226" s="11">
        <f>IF(OR($A226="",K226=""),"",K226-G226)</f>
        <v/>
      </c>
      <c r="M226" s="12">
        <f>IF($A226="","",IF(K226="","not counted yet",IF(ABS(L226)&lt;=$B$3,"Balanced",IF(L226&lt;0,"Short","Over"))))</f>
        <v/>
      </c>
    </row>
    <row r="227">
      <c r="A227" s="13" t="n"/>
      <c r="B227" s="14" t="n"/>
      <c r="C227" s="5" t="n"/>
      <c r="D227" s="5" t="n"/>
      <c r="E227" s="5" t="n"/>
      <c r="F227" s="5" t="n"/>
      <c r="G227" s="10">
        <f>IF($A227="","",SUMIF($A$5:$A$300,$A227,$C$5:$C$300))</f>
        <v/>
      </c>
      <c r="H227" s="10">
        <f>IF($A227="","",SUMIF($A$5:$A$300,$A227,$D$5:$D$300))</f>
        <v/>
      </c>
      <c r="I227" s="10">
        <f>IF($A227="","",SUMIF($A$5:$A$300,$A227,$E$5:$E$300))</f>
        <v/>
      </c>
      <c r="J227" s="10">
        <f>IF($A227="","",SUMIF($A$5:$A$300,$A227,$F$5:$F$300))</f>
        <v/>
      </c>
      <c r="K227" s="10">
        <f>IF($A227="","",IF(SUMPRODUCT(($A$5:$A$300=$A227)*(ISNUMBER($D$5:$D$300)+ISNUMBER($E$5:$E$300)))=0,"",H227+I227-J227))</f>
        <v/>
      </c>
      <c r="L227" s="11">
        <f>IF(OR($A227="",K227=""),"",K227-G227)</f>
        <v/>
      </c>
      <c r="M227" s="12">
        <f>IF($A227="","",IF(K227="","not counted yet",IF(ABS(L227)&lt;=$B$3,"Balanced",IF(L227&lt;0,"Short","Over"))))</f>
        <v/>
      </c>
    </row>
    <row r="228">
      <c r="A228" s="13" t="n"/>
      <c r="B228" s="14" t="n"/>
      <c r="C228" s="5" t="n"/>
      <c r="D228" s="5" t="n"/>
      <c r="E228" s="5" t="n"/>
      <c r="F228" s="5" t="n"/>
      <c r="G228" s="10">
        <f>IF($A228="","",SUMIF($A$5:$A$300,$A228,$C$5:$C$300))</f>
        <v/>
      </c>
      <c r="H228" s="10">
        <f>IF($A228="","",SUMIF($A$5:$A$300,$A228,$D$5:$D$300))</f>
        <v/>
      </c>
      <c r="I228" s="10">
        <f>IF($A228="","",SUMIF($A$5:$A$300,$A228,$E$5:$E$300))</f>
        <v/>
      </c>
      <c r="J228" s="10">
        <f>IF($A228="","",SUMIF($A$5:$A$300,$A228,$F$5:$F$300))</f>
        <v/>
      </c>
      <c r="K228" s="10">
        <f>IF($A228="","",IF(SUMPRODUCT(($A$5:$A$300=$A228)*(ISNUMBER($D$5:$D$300)+ISNUMBER($E$5:$E$300)))=0,"",H228+I228-J228))</f>
        <v/>
      </c>
      <c r="L228" s="11">
        <f>IF(OR($A228="",K228=""),"",K228-G228)</f>
        <v/>
      </c>
      <c r="M228" s="12">
        <f>IF($A228="","",IF(K228="","not counted yet",IF(ABS(L228)&lt;=$B$3,"Balanced",IF(L228&lt;0,"Short","Over"))))</f>
        <v/>
      </c>
    </row>
    <row r="229">
      <c r="A229" s="13" t="n"/>
      <c r="B229" s="14" t="n"/>
      <c r="C229" s="5" t="n"/>
      <c r="D229" s="5" t="n"/>
      <c r="E229" s="5" t="n"/>
      <c r="F229" s="5" t="n"/>
      <c r="G229" s="10">
        <f>IF($A229="","",SUMIF($A$5:$A$300,$A229,$C$5:$C$300))</f>
        <v/>
      </c>
      <c r="H229" s="10">
        <f>IF($A229="","",SUMIF($A$5:$A$300,$A229,$D$5:$D$300))</f>
        <v/>
      </c>
      <c r="I229" s="10">
        <f>IF($A229="","",SUMIF($A$5:$A$300,$A229,$E$5:$E$300))</f>
        <v/>
      </c>
      <c r="J229" s="10">
        <f>IF($A229="","",SUMIF($A$5:$A$300,$A229,$F$5:$F$300))</f>
        <v/>
      </c>
      <c r="K229" s="10">
        <f>IF($A229="","",IF(SUMPRODUCT(($A$5:$A$300=$A229)*(ISNUMBER($D$5:$D$300)+ISNUMBER($E$5:$E$300)))=0,"",H229+I229-J229))</f>
        <v/>
      </c>
      <c r="L229" s="11">
        <f>IF(OR($A229="",K229=""),"",K229-G229)</f>
        <v/>
      </c>
      <c r="M229" s="12">
        <f>IF($A229="","",IF(K229="","not counted yet",IF(ABS(L229)&lt;=$B$3,"Balanced",IF(L229&lt;0,"Short","Over"))))</f>
        <v/>
      </c>
    </row>
    <row r="230">
      <c r="A230" s="13" t="n"/>
      <c r="B230" s="14" t="n"/>
      <c r="C230" s="5" t="n"/>
      <c r="D230" s="5" t="n"/>
      <c r="E230" s="5" t="n"/>
      <c r="F230" s="5" t="n"/>
      <c r="G230" s="10">
        <f>IF($A230="","",SUMIF($A$5:$A$300,$A230,$C$5:$C$300))</f>
        <v/>
      </c>
      <c r="H230" s="10">
        <f>IF($A230="","",SUMIF($A$5:$A$300,$A230,$D$5:$D$300))</f>
        <v/>
      </c>
      <c r="I230" s="10">
        <f>IF($A230="","",SUMIF($A$5:$A$300,$A230,$E$5:$E$300))</f>
        <v/>
      </c>
      <c r="J230" s="10">
        <f>IF($A230="","",SUMIF($A$5:$A$300,$A230,$F$5:$F$300))</f>
        <v/>
      </c>
      <c r="K230" s="10">
        <f>IF($A230="","",IF(SUMPRODUCT(($A$5:$A$300=$A230)*(ISNUMBER($D$5:$D$300)+ISNUMBER($E$5:$E$300)))=0,"",H230+I230-J230))</f>
        <v/>
      </c>
      <c r="L230" s="11">
        <f>IF(OR($A230="",K230=""),"",K230-G230)</f>
        <v/>
      </c>
      <c r="M230" s="12">
        <f>IF($A230="","",IF(K230="","not counted yet",IF(ABS(L230)&lt;=$B$3,"Balanced",IF(L230&lt;0,"Short","Over"))))</f>
        <v/>
      </c>
    </row>
    <row r="231">
      <c r="A231" s="13" t="n"/>
      <c r="B231" s="14" t="n"/>
      <c r="C231" s="5" t="n"/>
      <c r="D231" s="5" t="n"/>
      <c r="E231" s="5" t="n"/>
      <c r="F231" s="5" t="n"/>
      <c r="G231" s="10">
        <f>IF($A231="","",SUMIF($A$5:$A$300,$A231,$C$5:$C$300))</f>
        <v/>
      </c>
      <c r="H231" s="10">
        <f>IF($A231="","",SUMIF($A$5:$A$300,$A231,$D$5:$D$300))</f>
        <v/>
      </c>
      <c r="I231" s="10">
        <f>IF($A231="","",SUMIF($A$5:$A$300,$A231,$E$5:$E$300))</f>
        <v/>
      </c>
      <c r="J231" s="10">
        <f>IF($A231="","",SUMIF($A$5:$A$300,$A231,$F$5:$F$300))</f>
        <v/>
      </c>
      <c r="K231" s="10">
        <f>IF($A231="","",IF(SUMPRODUCT(($A$5:$A$300=$A231)*(ISNUMBER($D$5:$D$300)+ISNUMBER($E$5:$E$300)))=0,"",H231+I231-J231))</f>
        <v/>
      </c>
      <c r="L231" s="11">
        <f>IF(OR($A231="",K231=""),"",K231-G231)</f>
        <v/>
      </c>
      <c r="M231" s="12">
        <f>IF($A231="","",IF(K231="","not counted yet",IF(ABS(L231)&lt;=$B$3,"Balanced",IF(L231&lt;0,"Short","Over"))))</f>
        <v/>
      </c>
    </row>
    <row r="232">
      <c r="A232" s="13" t="n"/>
      <c r="B232" s="14" t="n"/>
      <c r="C232" s="5" t="n"/>
      <c r="D232" s="5" t="n"/>
      <c r="E232" s="5" t="n"/>
      <c r="F232" s="5" t="n"/>
      <c r="G232" s="10">
        <f>IF($A232="","",SUMIF($A$5:$A$300,$A232,$C$5:$C$300))</f>
        <v/>
      </c>
      <c r="H232" s="10">
        <f>IF($A232="","",SUMIF($A$5:$A$300,$A232,$D$5:$D$300))</f>
        <v/>
      </c>
      <c r="I232" s="10">
        <f>IF($A232="","",SUMIF($A$5:$A$300,$A232,$E$5:$E$300))</f>
        <v/>
      </c>
      <c r="J232" s="10">
        <f>IF($A232="","",SUMIF($A$5:$A$300,$A232,$F$5:$F$300))</f>
        <v/>
      </c>
      <c r="K232" s="10">
        <f>IF($A232="","",IF(SUMPRODUCT(($A$5:$A$300=$A232)*(ISNUMBER($D$5:$D$300)+ISNUMBER($E$5:$E$300)))=0,"",H232+I232-J232))</f>
        <v/>
      </c>
      <c r="L232" s="11">
        <f>IF(OR($A232="",K232=""),"",K232-G232)</f>
        <v/>
      </c>
      <c r="M232" s="12">
        <f>IF($A232="","",IF(K232="","not counted yet",IF(ABS(L232)&lt;=$B$3,"Balanced",IF(L232&lt;0,"Short","Over"))))</f>
        <v/>
      </c>
    </row>
    <row r="233">
      <c r="A233" s="13" t="n"/>
      <c r="B233" s="14" t="n"/>
      <c r="C233" s="5" t="n"/>
      <c r="D233" s="5" t="n"/>
      <c r="E233" s="5" t="n"/>
      <c r="F233" s="5" t="n"/>
      <c r="G233" s="10">
        <f>IF($A233="","",SUMIF($A$5:$A$300,$A233,$C$5:$C$300))</f>
        <v/>
      </c>
      <c r="H233" s="10">
        <f>IF($A233="","",SUMIF($A$5:$A$300,$A233,$D$5:$D$300))</f>
        <v/>
      </c>
      <c r="I233" s="10">
        <f>IF($A233="","",SUMIF($A$5:$A$300,$A233,$E$5:$E$300))</f>
        <v/>
      </c>
      <c r="J233" s="10">
        <f>IF($A233="","",SUMIF($A$5:$A$300,$A233,$F$5:$F$300))</f>
        <v/>
      </c>
      <c r="K233" s="10">
        <f>IF($A233="","",IF(SUMPRODUCT(($A$5:$A$300=$A233)*(ISNUMBER($D$5:$D$300)+ISNUMBER($E$5:$E$300)))=0,"",H233+I233-J233))</f>
        <v/>
      </c>
      <c r="L233" s="11">
        <f>IF(OR($A233="",K233=""),"",K233-G233)</f>
        <v/>
      </c>
      <c r="M233" s="12">
        <f>IF($A233="","",IF(K233="","not counted yet",IF(ABS(L233)&lt;=$B$3,"Balanced",IF(L233&lt;0,"Short","Over"))))</f>
        <v/>
      </c>
    </row>
    <row r="234">
      <c r="A234" s="13" t="n"/>
      <c r="B234" s="14" t="n"/>
      <c r="C234" s="5" t="n"/>
      <c r="D234" s="5" t="n"/>
      <c r="E234" s="5" t="n"/>
      <c r="F234" s="5" t="n"/>
      <c r="G234" s="10">
        <f>IF($A234="","",SUMIF($A$5:$A$300,$A234,$C$5:$C$300))</f>
        <v/>
      </c>
      <c r="H234" s="10">
        <f>IF($A234="","",SUMIF($A$5:$A$300,$A234,$D$5:$D$300))</f>
        <v/>
      </c>
      <c r="I234" s="10">
        <f>IF($A234="","",SUMIF($A$5:$A$300,$A234,$E$5:$E$300))</f>
        <v/>
      </c>
      <c r="J234" s="10">
        <f>IF($A234="","",SUMIF($A$5:$A$300,$A234,$F$5:$F$300))</f>
        <v/>
      </c>
      <c r="K234" s="10">
        <f>IF($A234="","",IF(SUMPRODUCT(($A$5:$A$300=$A234)*(ISNUMBER($D$5:$D$300)+ISNUMBER($E$5:$E$300)))=0,"",H234+I234-J234))</f>
        <v/>
      </c>
      <c r="L234" s="11">
        <f>IF(OR($A234="",K234=""),"",K234-G234)</f>
        <v/>
      </c>
      <c r="M234" s="12">
        <f>IF($A234="","",IF(K234="","not counted yet",IF(ABS(L234)&lt;=$B$3,"Balanced",IF(L234&lt;0,"Short","Over"))))</f>
        <v/>
      </c>
    </row>
    <row r="235">
      <c r="A235" s="13" t="n"/>
      <c r="B235" s="14" t="n"/>
      <c r="C235" s="5" t="n"/>
      <c r="D235" s="5" t="n"/>
      <c r="E235" s="5" t="n"/>
      <c r="F235" s="5" t="n"/>
      <c r="G235" s="10">
        <f>IF($A235="","",SUMIF($A$5:$A$300,$A235,$C$5:$C$300))</f>
        <v/>
      </c>
      <c r="H235" s="10">
        <f>IF($A235="","",SUMIF($A$5:$A$300,$A235,$D$5:$D$300))</f>
        <v/>
      </c>
      <c r="I235" s="10">
        <f>IF($A235="","",SUMIF($A$5:$A$300,$A235,$E$5:$E$300))</f>
        <v/>
      </c>
      <c r="J235" s="10">
        <f>IF($A235="","",SUMIF($A$5:$A$300,$A235,$F$5:$F$300))</f>
        <v/>
      </c>
      <c r="K235" s="10">
        <f>IF($A235="","",IF(SUMPRODUCT(($A$5:$A$300=$A235)*(ISNUMBER($D$5:$D$300)+ISNUMBER($E$5:$E$300)))=0,"",H235+I235-J235))</f>
        <v/>
      </c>
      <c r="L235" s="11">
        <f>IF(OR($A235="",K235=""),"",K235-G235)</f>
        <v/>
      </c>
      <c r="M235" s="12">
        <f>IF($A235="","",IF(K235="","not counted yet",IF(ABS(L235)&lt;=$B$3,"Balanced",IF(L235&lt;0,"Short","Over"))))</f>
        <v/>
      </c>
    </row>
    <row r="236">
      <c r="A236" s="13" t="n"/>
      <c r="B236" s="14" t="n"/>
      <c r="C236" s="5" t="n"/>
      <c r="D236" s="5" t="n"/>
      <c r="E236" s="5" t="n"/>
      <c r="F236" s="5" t="n"/>
      <c r="G236" s="10">
        <f>IF($A236="","",SUMIF($A$5:$A$300,$A236,$C$5:$C$300))</f>
        <v/>
      </c>
      <c r="H236" s="10">
        <f>IF($A236="","",SUMIF($A$5:$A$300,$A236,$D$5:$D$300))</f>
        <v/>
      </c>
      <c r="I236" s="10">
        <f>IF($A236="","",SUMIF($A$5:$A$300,$A236,$E$5:$E$300))</f>
        <v/>
      </c>
      <c r="J236" s="10">
        <f>IF($A236="","",SUMIF($A$5:$A$300,$A236,$F$5:$F$300))</f>
        <v/>
      </c>
      <c r="K236" s="10">
        <f>IF($A236="","",IF(SUMPRODUCT(($A$5:$A$300=$A236)*(ISNUMBER($D$5:$D$300)+ISNUMBER($E$5:$E$300)))=0,"",H236+I236-J236))</f>
        <v/>
      </c>
      <c r="L236" s="11">
        <f>IF(OR($A236="",K236=""),"",K236-G236)</f>
        <v/>
      </c>
      <c r="M236" s="12">
        <f>IF($A236="","",IF(K236="","not counted yet",IF(ABS(L236)&lt;=$B$3,"Balanced",IF(L236&lt;0,"Short","Over"))))</f>
        <v/>
      </c>
    </row>
    <row r="237">
      <c r="A237" s="13" t="n"/>
      <c r="B237" s="14" t="n"/>
      <c r="C237" s="5" t="n"/>
      <c r="D237" s="5" t="n"/>
      <c r="E237" s="5" t="n"/>
      <c r="F237" s="5" t="n"/>
      <c r="G237" s="10">
        <f>IF($A237="","",SUMIF($A$5:$A$300,$A237,$C$5:$C$300))</f>
        <v/>
      </c>
      <c r="H237" s="10">
        <f>IF($A237="","",SUMIF($A$5:$A$300,$A237,$D$5:$D$300))</f>
        <v/>
      </c>
      <c r="I237" s="10">
        <f>IF($A237="","",SUMIF($A$5:$A$300,$A237,$E$5:$E$300))</f>
        <v/>
      </c>
      <c r="J237" s="10">
        <f>IF($A237="","",SUMIF($A$5:$A$300,$A237,$F$5:$F$300))</f>
        <v/>
      </c>
      <c r="K237" s="10">
        <f>IF($A237="","",IF(SUMPRODUCT(($A$5:$A$300=$A237)*(ISNUMBER($D$5:$D$300)+ISNUMBER($E$5:$E$300)))=0,"",H237+I237-J237))</f>
        <v/>
      </c>
      <c r="L237" s="11">
        <f>IF(OR($A237="",K237=""),"",K237-G237)</f>
        <v/>
      </c>
      <c r="M237" s="12">
        <f>IF($A237="","",IF(K237="","not counted yet",IF(ABS(L237)&lt;=$B$3,"Balanced",IF(L237&lt;0,"Short","Over"))))</f>
        <v/>
      </c>
    </row>
    <row r="238">
      <c r="A238" s="13" t="n"/>
      <c r="B238" s="14" t="n"/>
      <c r="C238" s="5" t="n"/>
      <c r="D238" s="5" t="n"/>
      <c r="E238" s="5" t="n"/>
      <c r="F238" s="5" t="n"/>
      <c r="G238" s="10">
        <f>IF($A238="","",SUMIF($A$5:$A$300,$A238,$C$5:$C$300))</f>
        <v/>
      </c>
      <c r="H238" s="10">
        <f>IF($A238="","",SUMIF($A$5:$A$300,$A238,$D$5:$D$300))</f>
        <v/>
      </c>
      <c r="I238" s="10">
        <f>IF($A238="","",SUMIF($A$5:$A$300,$A238,$E$5:$E$300))</f>
        <v/>
      </c>
      <c r="J238" s="10">
        <f>IF($A238="","",SUMIF($A$5:$A$300,$A238,$F$5:$F$300))</f>
        <v/>
      </c>
      <c r="K238" s="10">
        <f>IF($A238="","",IF(SUMPRODUCT(($A$5:$A$300=$A238)*(ISNUMBER($D$5:$D$300)+ISNUMBER($E$5:$E$300)))=0,"",H238+I238-J238))</f>
        <v/>
      </c>
      <c r="L238" s="11">
        <f>IF(OR($A238="",K238=""),"",K238-G238)</f>
        <v/>
      </c>
      <c r="M238" s="12">
        <f>IF($A238="","",IF(K238="","not counted yet",IF(ABS(L238)&lt;=$B$3,"Balanced",IF(L238&lt;0,"Short","Over"))))</f>
        <v/>
      </c>
    </row>
    <row r="239">
      <c r="A239" s="13" t="n"/>
      <c r="B239" s="14" t="n"/>
      <c r="C239" s="5" t="n"/>
      <c r="D239" s="5" t="n"/>
      <c r="E239" s="5" t="n"/>
      <c r="F239" s="5" t="n"/>
      <c r="G239" s="10">
        <f>IF($A239="","",SUMIF($A$5:$A$300,$A239,$C$5:$C$300))</f>
        <v/>
      </c>
      <c r="H239" s="10">
        <f>IF($A239="","",SUMIF($A$5:$A$300,$A239,$D$5:$D$300))</f>
        <v/>
      </c>
      <c r="I239" s="10">
        <f>IF($A239="","",SUMIF($A$5:$A$300,$A239,$E$5:$E$300))</f>
        <v/>
      </c>
      <c r="J239" s="10">
        <f>IF($A239="","",SUMIF($A$5:$A$300,$A239,$F$5:$F$300))</f>
        <v/>
      </c>
      <c r="K239" s="10">
        <f>IF($A239="","",IF(SUMPRODUCT(($A$5:$A$300=$A239)*(ISNUMBER($D$5:$D$300)+ISNUMBER($E$5:$E$300)))=0,"",H239+I239-J239))</f>
        <v/>
      </c>
      <c r="L239" s="11">
        <f>IF(OR($A239="",K239=""),"",K239-G239)</f>
        <v/>
      </c>
      <c r="M239" s="12">
        <f>IF($A239="","",IF(K239="","not counted yet",IF(ABS(L239)&lt;=$B$3,"Balanced",IF(L239&lt;0,"Short","Over"))))</f>
        <v/>
      </c>
    </row>
    <row r="240">
      <c r="A240" s="13" t="n"/>
      <c r="B240" s="14" t="n"/>
      <c r="C240" s="5" t="n"/>
      <c r="D240" s="5" t="n"/>
      <c r="E240" s="5" t="n"/>
      <c r="F240" s="5" t="n"/>
      <c r="G240" s="10">
        <f>IF($A240="","",SUMIF($A$5:$A$300,$A240,$C$5:$C$300))</f>
        <v/>
      </c>
      <c r="H240" s="10">
        <f>IF($A240="","",SUMIF($A$5:$A$300,$A240,$D$5:$D$300))</f>
        <v/>
      </c>
      <c r="I240" s="10">
        <f>IF($A240="","",SUMIF($A$5:$A$300,$A240,$E$5:$E$300))</f>
        <v/>
      </c>
      <c r="J240" s="10">
        <f>IF($A240="","",SUMIF($A$5:$A$300,$A240,$F$5:$F$300))</f>
        <v/>
      </c>
      <c r="K240" s="10">
        <f>IF($A240="","",IF(SUMPRODUCT(($A$5:$A$300=$A240)*(ISNUMBER($D$5:$D$300)+ISNUMBER($E$5:$E$300)))=0,"",H240+I240-J240))</f>
        <v/>
      </c>
      <c r="L240" s="11">
        <f>IF(OR($A240="",K240=""),"",K240-G240)</f>
        <v/>
      </c>
      <c r="M240" s="12">
        <f>IF($A240="","",IF(K240="","not counted yet",IF(ABS(L240)&lt;=$B$3,"Balanced",IF(L240&lt;0,"Short","Over"))))</f>
        <v/>
      </c>
    </row>
    <row r="241">
      <c r="A241" s="13" t="n"/>
      <c r="B241" s="14" t="n"/>
      <c r="C241" s="5" t="n"/>
      <c r="D241" s="5" t="n"/>
      <c r="E241" s="5" t="n"/>
      <c r="F241" s="5" t="n"/>
      <c r="G241" s="10">
        <f>IF($A241="","",SUMIF($A$5:$A$300,$A241,$C$5:$C$300))</f>
        <v/>
      </c>
      <c r="H241" s="10">
        <f>IF($A241="","",SUMIF($A$5:$A$300,$A241,$D$5:$D$300))</f>
        <v/>
      </c>
      <c r="I241" s="10">
        <f>IF($A241="","",SUMIF($A$5:$A$300,$A241,$E$5:$E$300))</f>
        <v/>
      </c>
      <c r="J241" s="10">
        <f>IF($A241="","",SUMIF($A$5:$A$300,$A241,$F$5:$F$300))</f>
        <v/>
      </c>
      <c r="K241" s="10">
        <f>IF($A241="","",IF(SUMPRODUCT(($A$5:$A$300=$A241)*(ISNUMBER($D$5:$D$300)+ISNUMBER($E$5:$E$300)))=0,"",H241+I241-J241))</f>
        <v/>
      </c>
      <c r="L241" s="11">
        <f>IF(OR($A241="",K241=""),"",K241-G241)</f>
        <v/>
      </c>
      <c r="M241" s="12">
        <f>IF($A241="","",IF(K241="","not counted yet",IF(ABS(L241)&lt;=$B$3,"Balanced",IF(L241&lt;0,"Short","Over"))))</f>
        <v/>
      </c>
    </row>
    <row r="242">
      <c r="A242" s="13" t="n"/>
      <c r="B242" s="14" t="n"/>
      <c r="C242" s="5" t="n"/>
      <c r="D242" s="5" t="n"/>
      <c r="E242" s="5" t="n"/>
      <c r="F242" s="5" t="n"/>
      <c r="G242" s="10">
        <f>IF($A242="","",SUMIF($A$5:$A$300,$A242,$C$5:$C$300))</f>
        <v/>
      </c>
      <c r="H242" s="10">
        <f>IF($A242="","",SUMIF($A$5:$A$300,$A242,$D$5:$D$300))</f>
        <v/>
      </c>
      <c r="I242" s="10">
        <f>IF($A242="","",SUMIF($A$5:$A$300,$A242,$E$5:$E$300))</f>
        <v/>
      </c>
      <c r="J242" s="10">
        <f>IF($A242="","",SUMIF($A$5:$A$300,$A242,$F$5:$F$300))</f>
        <v/>
      </c>
      <c r="K242" s="10">
        <f>IF($A242="","",IF(SUMPRODUCT(($A$5:$A$300=$A242)*(ISNUMBER($D$5:$D$300)+ISNUMBER($E$5:$E$300)))=0,"",H242+I242-J242))</f>
        <v/>
      </c>
      <c r="L242" s="11">
        <f>IF(OR($A242="",K242=""),"",K242-G242)</f>
        <v/>
      </c>
      <c r="M242" s="12">
        <f>IF($A242="","",IF(K242="","not counted yet",IF(ABS(L242)&lt;=$B$3,"Balanced",IF(L242&lt;0,"Short","Over"))))</f>
        <v/>
      </c>
    </row>
    <row r="243">
      <c r="A243" s="13" t="n"/>
      <c r="B243" s="14" t="n"/>
      <c r="C243" s="5" t="n"/>
      <c r="D243" s="5" t="n"/>
      <c r="E243" s="5" t="n"/>
      <c r="F243" s="5" t="n"/>
      <c r="G243" s="10">
        <f>IF($A243="","",SUMIF($A$5:$A$300,$A243,$C$5:$C$300))</f>
        <v/>
      </c>
      <c r="H243" s="10">
        <f>IF($A243="","",SUMIF($A$5:$A$300,$A243,$D$5:$D$300))</f>
        <v/>
      </c>
      <c r="I243" s="10">
        <f>IF($A243="","",SUMIF($A$5:$A$300,$A243,$E$5:$E$300))</f>
        <v/>
      </c>
      <c r="J243" s="10">
        <f>IF($A243="","",SUMIF($A$5:$A$300,$A243,$F$5:$F$300))</f>
        <v/>
      </c>
      <c r="K243" s="10">
        <f>IF($A243="","",IF(SUMPRODUCT(($A$5:$A$300=$A243)*(ISNUMBER($D$5:$D$300)+ISNUMBER($E$5:$E$300)))=0,"",H243+I243-J243))</f>
        <v/>
      </c>
      <c r="L243" s="11">
        <f>IF(OR($A243="",K243=""),"",K243-G243)</f>
        <v/>
      </c>
      <c r="M243" s="12">
        <f>IF($A243="","",IF(K243="","not counted yet",IF(ABS(L243)&lt;=$B$3,"Balanced",IF(L243&lt;0,"Short","Over"))))</f>
        <v/>
      </c>
    </row>
    <row r="244">
      <c r="A244" s="13" t="n"/>
      <c r="B244" s="14" t="n"/>
      <c r="C244" s="5" t="n"/>
      <c r="D244" s="5" t="n"/>
      <c r="E244" s="5" t="n"/>
      <c r="F244" s="5" t="n"/>
      <c r="G244" s="10">
        <f>IF($A244="","",SUMIF($A$5:$A$300,$A244,$C$5:$C$300))</f>
        <v/>
      </c>
      <c r="H244" s="10">
        <f>IF($A244="","",SUMIF($A$5:$A$300,$A244,$D$5:$D$300))</f>
        <v/>
      </c>
      <c r="I244" s="10">
        <f>IF($A244="","",SUMIF($A$5:$A$300,$A244,$E$5:$E$300))</f>
        <v/>
      </c>
      <c r="J244" s="10">
        <f>IF($A244="","",SUMIF($A$5:$A$300,$A244,$F$5:$F$300))</f>
        <v/>
      </c>
      <c r="K244" s="10">
        <f>IF($A244="","",IF(SUMPRODUCT(($A$5:$A$300=$A244)*(ISNUMBER($D$5:$D$300)+ISNUMBER($E$5:$E$300)))=0,"",H244+I244-J244))</f>
        <v/>
      </c>
      <c r="L244" s="11">
        <f>IF(OR($A244="",K244=""),"",K244-G244)</f>
        <v/>
      </c>
      <c r="M244" s="12">
        <f>IF($A244="","",IF(K244="","not counted yet",IF(ABS(L244)&lt;=$B$3,"Balanced",IF(L244&lt;0,"Short","Over"))))</f>
        <v/>
      </c>
    </row>
    <row r="245">
      <c r="A245" s="13" t="n"/>
      <c r="B245" s="14" t="n"/>
      <c r="C245" s="5" t="n"/>
      <c r="D245" s="5" t="n"/>
      <c r="E245" s="5" t="n"/>
      <c r="F245" s="5" t="n"/>
      <c r="G245" s="10">
        <f>IF($A245="","",SUMIF($A$5:$A$300,$A245,$C$5:$C$300))</f>
        <v/>
      </c>
      <c r="H245" s="10">
        <f>IF($A245="","",SUMIF($A$5:$A$300,$A245,$D$5:$D$300))</f>
        <v/>
      </c>
      <c r="I245" s="10">
        <f>IF($A245="","",SUMIF($A$5:$A$300,$A245,$E$5:$E$300))</f>
        <v/>
      </c>
      <c r="J245" s="10">
        <f>IF($A245="","",SUMIF($A$5:$A$300,$A245,$F$5:$F$300))</f>
        <v/>
      </c>
      <c r="K245" s="10">
        <f>IF($A245="","",IF(SUMPRODUCT(($A$5:$A$300=$A245)*(ISNUMBER($D$5:$D$300)+ISNUMBER($E$5:$E$300)))=0,"",H245+I245-J245))</f>
        <v/>
      </c>
      <c r="L245" s="11">
        <f>IF(OR($A245="",K245=""),"",K245-G245)</f>
        <v/>
      </c>
      <c r="M245" s="12">
        <f>IF($A245="","",IF(K245="","not counted yet",IF(ABS(L245)&lt;=$B$3,"Balanced",IF(L245&lt;0,"Short","Over"))))</f>
        <v/>
      </c>
    </row>
    <row r="246">
      <c r="A246" s="13" t="n"/>
      <c r="B246" s="14" t="n"/>
      <c r="C246" s="5" t="n"/>
      <c r="D246" s="5" t="n"/>
      <c r="E246" s="5" t="n"/>
      <c r="F246" s="5" t="n"/>
      <c r="G246" s="10">
        <f>IF($A246="","",SUMIF($A$5:$A$300,$A246,$C$5:$C$300))</f>
        <v/>
      </c>
      <c r="H246" s="10">
        <f>IF($A246="","",SUMIF($A$5:$A$300,$A246,$D$5:$D$300))</f>
        <v/>
      </c>
      <c r="I246" s="10">
        <f>IF($A246="","",SUMIF($A$5:$A$300,$A246,$E$5:$E$300))</f>
        <v/>
      </c>
      <c r="J246" s="10">
        <f>IF($A246="","",SUMIF($A$5:$A$300,$A246,$F$5:$F$300))</f>
        <v/>
      </c>
      <c r="K246" s="10">
        <f>IF($A246="","",IF(SUMPRODUCT(($A$5:$A$300=$A246)*(ISNUMBER($D$5:$D$300)+ISNUMBER($E$5:$E$300)))=0,"",H246+I246-J246))</f>
        <v/>
      </c>
      <c r="L246" s="11">
        <f>IF(OR($A246="",K246=""),"",K246-G246)</f>
        <v/>
      </c>
      <c r="M246" s="12">
        <f>IF($A246="","",IF(K246="","not counted yet",IF(ABS(L246)&lt;=$B$3,"Balanced",IF(L246&lt;0,"Short","Over"))))</f>
        <v/>
      </c>
    </row>
    <row r="247">
      <c r="A247" s="13" t="n"/>
      <c r="B247" s="14" t="n"/>
      <c r="C247" s="5" t="n"/>
      <c r="D247" s="5" t="n"/>
      <c r="E247" s="5" t="n"/>
      <c r="F247" s="5" t="n"/>
      <c r="G247" s="10">
        <f>IF($A247="","",SUMIF($A$5:$A$300,$A247,$C$5:$C$300))</f>
        <v/>
      </c>
      <c r="H247" s="10">
        <f>IF($A247="","",SUMIF($A$5:$A$300,$A247,$D$5:$D$300))</f>
        <v/>
      </c>
      <c r="I247" s="10">
        <f>IF($A247="","",SUMIF($A$5:$A$300,$A247,$E$5:$E$300))</f>
        <v/>
      </c>
      <c r="J247" s="10">
        <f>IF($A247="","",SUMIF($A$5:$A$300,$A247,$F$5:$F$300))</f>
        <v/>
      </c>
      <c r="K247" s="10">
        <f>IF($A247="","",IF(SUMPRODUCT(($A$5:$A$300=$A247)*(ISNUMBER($D$5:$D$300)+ISNUMBER($E$5:$E$300)))=0,"",H247+I247-J247))</f>
        <v/>
      </c>
      <c r="L247" s="11">
        <f>IF(OR($A247="",K247=""),"",K247-G247)</f>
        <v/>
      </c>
      <c r="M247" s="12">
        <f>IF($A247="","",IF(K247="","not counted yet",IF(ABS(L247)&lt;=$B$3,"Balanced",IF(L247&lt;0,"Short","Over"))))</f>
        <v/>
      </c>
    </row>
    <row r="248">
      <c r="A248" s="13" t="n"/>
      <c r="B248" s="14" t="n"/>
      <c r="C248" s="5" t="n"/>
      <c r="D248" s="5" t="n"/>
      <c r="E248" s="5" t="n"/>
      <c r="F248" s="5" t="n"/>
      <c r="G248" s="10">
        <f>IF($A248="","",SUMIF($A$5:$A$300,$A248,$C$5:$C$300))</f>
        <v/>
      </c>
      <c r="H248" s="10">
        <f>IF($A248="","",SUMIF($A$5:$A$300,$A248,$D$5:$D$300))</f>
        <v/>
      </c>
      <c r="I248" s="10">
        <f>IF($A248="","",SUMIF($A$5:$A$300,$A248,$E$5:$E$300))</f>
        <v/>
      </c>
      <c r="J248" s="10">
        <f>IF($A248="","",SUMIF($A$5:$A$300,$A248,$F$5:$F$300))</f>
        <v/>
      </c>
      <c r="K248" s="10">
        <f>IF($A248="","",IF(SUMPRODUCT(($A$5:$A$300=$A248)*(ISNUMBER($D$5:$D$300)+ISNUMBER($E$5:$E$300)))=0,"",H248+I248-J248))</f>
        <v/>
      </c>
      <c r="L248" s="11">
        <f>IF(OR($A248="",K248=""),"",K248-G248)</f>
        <v/>
      </c>
      <c r="M248" s="12">
        <f>IF($A248="","",IF(K248="","not counted yet",IF(ABS(L248)&lt;=$B$3,"Balanced",IF(L248&lt;0,"Short","Over"))))</f>
        <v/>
      </c>
    </row>
    <row r="249">
      <c r="A249" s="13" t="n"/>
      <c r="B249" s="14" t="n"/>
      <c r="C249" s="5" t="n"/>
      <c r="D249" s="5" t="n"/>
      <c r="E249" s="5" t="n"/>
      <c r="F249" s="5" t="n"/>
      <c r="G249" s="10">
        <f>IF($A249="","",SUMIF($A$5:$A$300,$A249,$C$5:$C$300))</f>
        <v/>
      </c>
      <c r="H249" s="10">
        <f>IF($A249="","",SUMIF($A$5:$A$300,$A249,$D$5:$D$300))</f>
        <v/>
      </c>
      <c r="I249" s="10">
        <f>IF($A249="","",SUMIF($A$5:$A$300,$A249,$E$5:$E$300))</f>
        <v/>
      </c>
      <c r="J249" s="10">
        <f>IF($A249="","",SUMIF($A$5:$A$300,$A249,$F$5:$F$300))</f>
        <v/>
      </c>
      <c r="K249" s="10">
        <f>IF($A249="","",IF(SUMPRODUCT(($A$5:$A$300=$A249)*(ISNUMBER($D$5:$D$300)+ISNUMBER($E$5:$E$300)))=0,"",H249+I249-J249))</f>
        <v/>
      </c>
      <c r="L249" s="11">
        <f>IF(OR($A249="",K249=""),"",K249-G249)</f>
        <v/>
      </c>
      <c r="M249" s="12">
        <f>IF($A249="","",IF(K249="","not counted yet",IF(ABS(L249)&lt;=$B$3,"Balanced",IF(L249&lt;0,"Short","Over"))))</f>
        <v/>
      </c>
    </row>
    <row r="250">
      <c r="A250" s="13" t="n"/>
      <c r="B250" s="14" t="n"/>
      <c r="C250" s="5" t="n"/>
      <c r="D250" s="5" t="n"/>
      <c r="E250" s="5" t="n"/>
      <c r="F250" s="5" t="n"/>
      <c r="G250" s="10">
        <f>IF($A250="","",SUMIF($A$5:$A$300,$A250,$C$5:$C$300))</f>
        <v/>
      </c>
      <c r="H250" s="10">
        <f>IF($A250="","",SUMIF($A$5:$A$300,$A250,$D$5:$D$300))</f>
        <v/>
      </c>
      <c r="I250" s="10">
        <f>IF($A250="","",SUMIF($A$5:$A$300,$A250,$E$5:$E$300))</f>
        <v/>
      </c>
      <c r="J250" s="10">
        <f>IF($A250="","",SUMIF($A$5:$A$300,$A250,$F$5:$F$300))</f>
        <v/>
      </c>
      <c r="K250" s="10">
        <f>IF($A250="","",IF(SUMPRODUCT(($A$5:$A$300=$A250)*(ISNUMBER($D$5:$D$300)+ISNUMBER($E$5:$E$300)))=0,"",H250+I250-J250))</f>
        <v/>
      </c>
      <c r="L250" s="11">
        <f>IF(OR($A250="",K250=""),"",K250-G250)</f>
        <v/>
      </c>
      <c r="M250" s="12">
        <f>IF($A250="","",IF(K250="","not counted yet",IF(ABS(L250)&lt;=$B$3,"Balanced",IF(L250&lt;0,"Short","Over"))))</f>
        <v/>
      </c>
    </row>
    <row r="251">
      <c r="A251" s="13" t="n"/>
      <c r="B251" s="14" t="n"/>
      <c r="C251" s="5" t="n"/>
      <c r="D251" s="5" t="n"/>
      <c r="E251" s="5" t="n"/>
      <c r="F251" s="5" t="n"/>
      <c r="G251" s="10">
        <f>IF($A251="","",SUMIF($A$5:$A$300,$A251,$C$5:$C$300))</f>
        <v/>
      </c>
      <c r="H251" s="10">
        <f>IF($A251="","",SUMIF($A$5:$A$300,$A251,$D$5:$D$300))</f>
        <v/>
      </c>
      <c r="I251" s="10">
        <f>IF($A251="","",SUMIF($A$5:$A$300,$A251,$E$5:$E$300))</f>
        <v/>
      </c>
      <c r="J251" s="10">
        <f>IF($A251="","",SUMIF($A$5:$A$300,$A251,$F$5:$F$300))</f>
        <v/>
      </c>
      <c r="K251" s="10">
        <f>IF($A251="","",IF(SUMPRODUCT(($A$5:$A$300=$A251)*(ISNUMBER($D$5:$D$300)+ISNUMBER($E$5:$E$300)))=0,"",H251+I251-J251))</f>
        <v/>
      </c>
      <c r="L251" s="11">
        <f>IF(OR($A251="",K251=""),"",K251-G251)</f>
        <v/>
      </c>
      <c r="M251" s="12">
        <f>IF($A251="","",IF(K251="","not counted yet",IF(ABS(L251)&lt;=$B$3,"Balanced",IF(L251&lt;0,"Short","Over"))))</f>
        <v/>
      </c>
    </row>
    <row r="252">
      <c r="A252" s="13" t="n"/>
      <c r="B252" s="14" t="n"/>
      <c r="C252" s="5" t="n"/>
      <c r="D252" s="5" t="n"/>
      <c r="E252" s="5" t="n"/>
      <c r="F252" s="5" t="n"/>
      <c r="G252" s="10">
        <f>IF($A252="","",SUMIF($A$5:$A$300,$A252,$C$5:$C$300))</f>
        <v/>
      </c>
      <c r="H252" s="10">
        <f>IF($A252="","",SUMIF($A$5:$A$300,$A252,$D$5:$D$300))</f>
        <v/>
      </c>
      <c r="I252" s="10">
        <f>IF($A252="","",SUMIF($A$5:$A$300,$A252,$E$5:$E$300))</f>
        <v/>
      </c>
      <c r="J252" s="10">
        <f>IF($A252="","",SUMIF($A$5:$A$300,$A252,$F$5:$F$300))</f>
        <v/>
      </c>
      <c r="K252" s="10">
        <f>IF($A252="","",IF(SUMPRODUCT(($A$5:$A$300=$A252)*(ISNUMBER($D$5:$D$300)+ISNUMBER($E$5:$E$300)))=0,"",H252+I252-J252))</f>
        <v/>
      </c>
      <c r="L252" s="11">
        <f>IF(OR($A252="",K252=""),"",K252-G252)</f>
        <v/>
      </c>
      <c r="M252" s="12">
        <f>IF($A252="","",IF(K252="","not counted yet",IF(ABS(L252)&lt;=$B$3,"Balanced",IF(L252&lt;0,"Short","Over"))))</f>
        <v/>
      </c>
    </row>
    <row r="253">
      <c r="A253" s="13" t="n"/>
      <c r="B253" s="14" t="n"/>
      <c r="C253" s="5" t="n"/>
      <c r="D253" s="5" t="n"/>
      <c r="E253" s="5" t="n"/>
      <c r="F253" s="5" t="n"/>
      <c r="G253" s="10">
        <f>IF($A253="","",SUMIF($A$5:$A$300,$A253,$C$5:$C$300))</f>
        <v/>
      </c>
      <c r="H253" s="10">
        <f>IF($A253="","",SUMIF($A$5:$A$300,$A253,$D$5:$D$300))</f>
        <v/>
      </c>
      <c r="I253" s="10">
        <f>IF($A253="","",SUMIF($A$5:$A$300,$A253,$E$5:$E$300))</f>
        <v/>
      </c>
      <c r="J253" s="10">
        <f>IF($A253="","",SUMIF($A$5:$A$300,$A253,$F$5:$F$300))</f>
        <v/>
      </c>
      <c r="K253" s="10">
        <f>IF($A253="","",IF(SUMPRODUCT(($A$5:$A$300=$A253)*(ISNUMBER($D$5:$D$300)+ISNUMBER($E$5:$E$300)))=0,"",H253+I253-J253))</f>
        <v/>
      </c>
      <c r="L253" s="11">
        <f>IF(OR($A253="",K253=""),"",K253-G253)</f>
        <v/>
      </c>
      <c r="M253" s="12">
        <f>IF($A253="","",IF(K253="","not counted yet",IF(ABS(L253)&lt;=$B$3,"Balanced",IF(L253&lt;0,"Short","Over"))))</f>
        <v/>
      </c>
    </row>
    <row r="254">
      <c r="A254" s="13" t="n"/>
      <c r="B254" s="14" t="n"/>
      <c r="C254" s="5" t="n"/>
      <c r="D254" s="5" t="n"/>
      <c r="E254" s="5" t="n"/>
      <c r="F254" s="5" t="n"/>
      <c r="G254" s="10">
        <f>IF($A254="","",SUMIF($A$5:$A$300,$A254,$C$5:$C$300))</f>
        <v/>
      </c>
      <c r="H254" s="10">
        <f>IF($A254="","",SUMIF($A$5:$A$300,$A254,$D$5:$D$300))</f>
        <v/>
      </c>
      <c r="I254" s="10">
        <f>IF($A254="","",SUMIF($A$5:$A$300,$A254,$E$5:$E$300))</f>
        <v/>
      </c>
      <c r="J254" s="10">
        <f>IF($A254="","",SUMIF($A$5:$A$300,$A254,$F$5:$F$300))</f>
        <v/>
      </c>
      <c r="K254" s="10">
        <f>IF($A254="","",IF(SUMPRODUCT(($A$5:$A$300=$A254)*(ISNUMBER($D$5:$D$300)+ISNUMBER($E$5:$E$300)))=0,"",H254+I254-J254))</f>
        <v/>
      </c>
      <c r="L254" s="11">
        <f>IF(OR($A254="",K254=""),"",K254-G254)</f>
        <v/>
      </c>
      <c r="M254" s="12">
        <f>IF($A254="","",IF(K254="","not counted yet",IF(ABS(L254)&lt;=$B$3,"Balanced",IF(L254&lt;0,"Short","Over"))))</f>
        <v/>
      </c>
    </row>
    <row r="255">
      <c r="A255" s="13" t="n"/>
      <c r="B255" s="14" t="n"/>
      <c r="C255" s="5" t="n"/>
      <c r="D255" s="5" t="n"/>
      <c r="E255" s="5" t="n"/>
      <c r="F255" s="5" t="n"/>
      <c r="G255" s="10">
        <f>IF($A255="","",SUMIF($A$5:$A$300,$A255,$C$5:$C$300))</f>
        <v/>
      </c>
      <c r="H255" s="10">
        <f>IF($A255="","",SUMIF($A$5:$A$300,$A255,$D$5:$D$300))</f>
        <v/>
      </c>
      <c r="I255" s="10">
        <f>IF($A255="","",SUMIF($A$5:$A$300,$A255,$E$5:$E$300))</f>
        <v/>
      </c>
      <c r="J255" s="10">
        <f>IF($A255="","",SUMIF($A$5:$A$300,$A255,$F$5:$F$300))</f>
        <v/>
      </c>
      <c r="K255" s="10">
        <f>IF($A255="","",IF(SUMPRODUCT(($A$5:$A$300=$A255)*(ISNUMBER($D$5:$D$300)+ISNUMBER($E$5:$E$300)))=0,"",H255+I255-J255))</f>
        <v/>
      </c>
      <c r="L255" s="11">
        <f>IF(OR($A255="",K255=""),"",K255-G255)</f>
        <v/>
      </c>
      <c r="M255" s="12">
        <f>IF($A255="","",IF(K255="","not counted yet",IF(ABS(L255)&lt;=$B$3,"Balanced",IF(L255&lt;0,"Short","Over"))))</f>
        <v/>
      </c>
    </row>
    <row r="256">
      <c r="A256" s="13" t="n"/>
      <c r="B256" s="14" t="n"/>
      <c r="C256" s="5" t="n"/>
      <c r="D256" s="5" t="n"/>
      <c r="E256" s="5" t="n"/>
      <c r="F256" s="5" t="n"/>
      <c r="G256" s="10">
        <f>IF($A256="","",SUMIF($A$5:$A$300,$A256,$C$5:$C$300))</f>
        <v/>
      </c>
      <c r="H256" s="10">
        <f>IF($A256="","",SUMIF($A$5:$A$300,$A256,$D$5:$D$300))</f>
        <v/>
      </c>
      <c r="I256" s="10">
        <f>IF($A256="","",SUMIF($A$5:$A$300,$A256,$E$5:$E$300))</f>
        <v/>
      </c>
      <c r="J256" s="10">
        <f>IF($A256="","",SUMIF($A$5:$A$300,$A256,$F$5:$F$300))</f>
        <v/>
      </c>
      <c r="K256" s="10">
        <f>IF($A256="","",IF(SUMPRODUCT(($A$5:$A$300=$A256)*(ISNUMBER($D$5:$D$300)+ISNUMBER($E$5:$E$300)))=0,"",H256+I256-J256))</f>
        <v/>
      </c>
      <c r="L256" s="11">
        <f>IF(OR($A256="",K256=""),"",K256-G256)</f>
        <v/>
      </c>
      <c r="M256" s="12">
        <f>IF($A256="","",IF(K256="","not counted yet",IF(ABS(L256)&lt;=$B$3,"Balanced",IF(L256&lt;0,"Short","Over"))))</f>
        <v/>
      </c>
    </row>
    <row r="257">
      <c r="A257" s="13" t="n"/>
      <c r="B257" s="14" t="n"/>
      <c r="C257" s="5" t="n"/>
      <c r="D257" s="5" t="n"/>
      <c r="E257" s="5" t="n"/>
      <c r="F257" s="5" t="n"/>
      <c r="G257" s="10">
        <f>IF($A257="","",SUMIF($A$5:$A$300,$A257,$C$5:$C$300))</f>
        <v/>
      </c>
      <c r="H257" s="10">
        <f>IF($A257="","",SUMIF($A$5:$A$300,$A257,$D$5:$D$300))</f>
        <v/>
      </c>
      <c r="I257" s="10">
        <f>IF($A257="","",SUMIF($A$5:$A$300,$A257,$E$5:$E$300))</f>
        <v/>
      </c>
      <c r="J257" s="10">
        <f>IF($A257="","",SUMIF($A$5:$A$300,$A257,$F$5:$F$300))</f>
        <v/>
      </c>
      <c r="K257" s="10">
        <f>IF($A257="","",IF(SUMPRODUCT(($A$5:$A$300=$A257)*(ISNUMBER($D$5:$D$300)+ISNUMBER($E$5:$E$300)))=0,"",H257+I257-J257))</f>
        <v/>
      </c>
      <c r="L257" s="11">
        <f>IF(OR($A257="",K257=""),"",K257-G257)</f>
        <v/>
      </c>
      <c r="M257" s="12">
        <f>IF($A257="","",IF(K257="","not counted yet",IF(ABS(L257)&lt;=$B$3,"Balanced",IF(L257&lt;0,"Short","Over"))))</f>
        <v/>
      </c>
    </row>
    <row r="258">
      <c r="A258" s="13" t="n"/>
      <c r="B258" s="14" t="n"/>
      <c r="C258" s="5" t="n"/>
      <c r="D258" s="5" t="n"/>
      <c r="E258" s="5" t="n"/>
      <c r="F258" s="5" t="n"/>
      <c r="G258" s="10">
        <f>IF($A258="","",SUMIF($A$5:$A$300,$A258,$C$5:$C$300))</f>
        <v/>
      </c>
      <c r="H258" s="10">
        <f>IF($A258="","",SUMIF($A$5:$A$300,$A258,$D$5:$D$300))</f>
        <v/>
      </c>
      <c r="I258" s="10">
        <f>IF($A258="","",SUMIF($A$5:$A$300,$A258,$E$5:$E$300))</f>
        <v/>
      </c>
      <c r="J258" s="10">
        <f>IF($A258="","",SUMIF($A$5:$A$300,$A258,$F$5:$F$300))</f>
        <v/>
      </c>
      <c r="K258" s="10">
        <f>IF($A258="","",IF(SUMPRODUCT(($A$5:$A$300=$A258)*(ISNUMBER($D$5:$D$300)+ISNUMBER($E$5:$E$300)))=0,"",H258+I258-J258))</f>
        <v/>
      </c>
      <c r="L258" s="11">
        <f>IF(OR($A258="",K258=""),"",K258-G258)</f>
        <v/>
      </c>
      <c r="M258" s="12">
        <f>IF($A258="","",IF(K258="","not counted yet",IF(ABS(L258)&lt;=$B$3,"Balanced",IF(L258&lt;0,"Short","Over"))))</f>
        <v/>
      </c>
    </row>
    <row r="259">
      <c r="A259" s="13" t="n"/>
      <c r="B259" s="14" t="n"/>
      <c r="C259" s="5" t="n"/>
      <c r="D259" s="5" t="n"/>
      <c r="E259" s="5" t="n"/>
      <c r="F259" s="5" t="n"/>
      <c r="G259" s="10">
        <f>IF($A259="","",SUMIF($A$5:$A$300,$A259,$C$5:$C$300))</f>
        <v/>
      </c>
      <c r="H259" s="10">
        <f>IF($A259="","",SUMIF($A$5:$A$300,$A259,$D$5:$D$300))</f>
        <v/>
      </c>
      <c r="I259" s="10">
        <f>IF($A259="","",SUMIF($A$5:$A$300,$A259,$E$5:$E$300))</f>
        <v/>
      </c>
      <c r="J259" s="10">
        <f>IF($A259="","",SUMIF($A$5:$A$300,$A259,$F$5:$F$300))</f>
        <v/>
      </c>
      <c r="K259" s="10">
        <f>IF($A259="","",IF(SUMPRODUCT(($A$5:$A$300=$A259)*(ISNUMBER($D$5:$D$300)+ISNUMBER($E$5:$E$300)))=0,"",H259+I259-J259))</f>
        <v/>
      </c>
      <c r="L259" s="11">
        <f>IF(OR($A259="",K259=""),"",K259-G259)</f>
        <v/>
      </c>
      <c r="M259" s="12">
        <f>IF($A259="","",IF(K259="","not counted yet",IF(ABS(L259)&lt;=$B$3,"Balanced",IF(L259&lt;0,"Short","Over"))))</f>
        <v/>
      </c>
    </row>
    <row r="260">
      <c r="A260" s="13" t="n"/>
      <c r="B260" s="14" t="n"/>
      <c r="C260" s="5" t="n"/>
      <c r="D260" s="5" t="n"/>
      <c r="E260" s="5" t="n"/>
      <c r="F260" s="5" t="n"/>
      <c r="G260" s="10">
        <f>IF($A260="","",SUMIF($A$5:$A$300,$A260,$C$5:$C$300))</f>
        <v/>
      </c>
      <c r="H260" s="10">
        <f>IF($A260="","",SUMIF($A$5:$A$300,$A260,$D$5:$D$300))</f>
        <v/>
      </c>
      <c r="I260" s="10">
        <f>IF($A260="","",SUMIF($A$5:$A$300,$A260,$E$5:$E$300))</f>
        <v/>
      </c>
      <c r="J260" s="10">
        <f>IF($A260="","",SUMIF($A$5:$A$300,$A260,$F$5:$F$300))</f>
        <v/>
      </c>
      <c r="K260" s="10">
        <f>IF($A260="","",IF(SUMPRODUCT(($A$5:$A$300=$A260)*(ISNUMBER($D$5:$D$300)+ISNUMBER($E$5:$E$300)))=0,"",H260+I260-J260))</f>
        <v/>
      </c>
      <c r="L260" s="11">
        <f>IF(OR($A260="",K260=""),"",K260-G260)</f>
        <v/>
      </c>
      <c r="M260" s="12">
        <f>IF($A260="","",IF(K260="","not counted yet",IF(ABS(L260)&lt;=$B$3,"Balanced",IF(L260&lt;0,"Short","Over"))))</f>
        <v/>
      </c>
    </row>
    <row r="261">
      <c r="A261" s="13" t="n"/>
      <c r="B261" s="14" t="n"/>
      <c r="C261" s="5" t="n"/>
      <c r="D261" s="5" t="n"/>
      <c r="E261" s="5" t="n"/>
      <c r="F261" s="5" t="n"/>
      <c r="G261" s="10">
        <f>IF($A261="","",SUMIF($A$5:$A$300,$A261,$C$5:$C$300))</f>
        <v/>
      </c>
      <c r="H261" s="10">
        <f>IF($A261="","",SUMIF($A$5:$A$300,$A261,$D$5:$D$300))</f>
        <v/>
      </c>
      <c r="I261" s="10">
        <f>IF($A261="","",SUMIF($A$5:$A$300,$A261,$E$5:$E$300))</f>
        <v/>
      </c>
      <c r="J261" s="10">
        <f>IF($A261="","",SUMIF($A$5:$A$300,$A261,$F$5:$F$300))</f>
        <v/>
      </c>
      <c r="K261" s="10">
        <f>IF($A261="","",IF(SUMPRODUCT(($A$5:$A$300=$A261)*(ISNUMBER($D$5:$D$300)+ISNUMBER($E$5:$E$300)))=0,"",H261+I261-J261))</f>
        <v/>
      </c>
      <c r="L261" s="11">
        <f>IF(OR($A261="",K261=""),"",K261-G261)</f>
        <v/>
      </c>
      <c r="M261" s="12">
        <f>IF($A261="","",IF(K261="","not counted yet",IF(ABS(L261)&lt;=$B$3,"Balanced",IF(L261&lt;0,"Short","Over"))))</f>
        <v/>
      </c>
    </row>
    <row r="262">
      <c r="A262" s="13" t="n"/>
      <c r="B262" s="14" t="n"/>
      <c r="C262" s="5" t="n"/>
      <c r="D262" s="5" t="n"/>
      <c r="E262" s="5" t="n"/>
      <c r="F262" s="5" t="n"/>
      <c r="G262" s="10">
        <f>IF($A262="","",SUMIF($A$5:$A$300,$A262,$C$5:$C$300))</f>
        <v/>
      </c>
      <c r="H262" s="10">
        <f>IF($A262="","",SUMIF($A$5:$A$300,$A262,$D$5:$D$300))</f>
        <v/>
      </c>
      <c r="I262" s="10">
        <f>IF($A262="","",SUMIF($A$5:$A$300,$A262,$E$5:$E$300))</f>
        <v/>
      </c>
      <c r="J262" s="10">
        <f>IF($A262="","",SUMIF($A$5:$A$300,$A262,$F$5:$F$300))</f>
        <v/>
      </c>
      <c r="K262" s="10">
        <f>IF($A262="","",IF(SUMPRODUCT(($A$5:$A$300=$A262)*(ISNUMBER($D$5:$D$300)+ISNUMBER($E$5:$E$300)))=0,"",H262+I262-J262))</f>
        <v/>
      </c>
      <c r="L262" s="11">
        <f>IF(OR($A262="",K262=""),"",K262-G262)</f>
        <v/>
      </c>
      <c r="M262" s="12">
        <f>IF($A262="","",IF(K262="","not counted yet",IF(ABS(L262)&lt;=$B$3,"Balanced",IF(L262&lt;0,"Short","Over"))))</f>
        <v/>
      </c>
    </row>
    <row r="263">
      <c r="A263" s="13" t="n"/>
      <c r="B263" s="14" t="n"/>
      <c r="C263" s="5" t="n"/>
      <c r="D263" s="5" t="n"/>
      <c r="E263" s="5" t="n"/>
      <c r="F263" s="5" t="n"/>
      <c r="G263" s="10">
        <f>IF($A263="","",SUMIF($A$5:$A$300,$A263,$C$5:$C$300))</f>
        <v/>
      </c>
      <c r="H263" s="10">
        <f>IF($A263="","",SUMIF($A$5:$A$300,$A263,$D$5:$D$300))</f>
        <v/>
      </c>
      <c r="I263" s="10">
        <f>IF($A263="","",SUMIF($A$5:$A$300,$A263,$E$5:$E$300))</f>
        <v/>
      </c>
      <c r="J263" s="10">
        <f>IF($A263="","",SUMIF($A$5:$A$300,$A263,$F$5:$F$300))</f>
        <v/>
      </c>
      <c r="K263" s="10">
        <f>IF($A263="","",IF(SUMPRODUCT(($A$5:$A$300=$A263)*(ISNUMBER($D$5:$D$300)+ISNUMBER($E$5:$E$300)))=0,"",H263+I263-J263))</f>
        <v/>
      </c>
      <c r="L263" s="11">
        <f>IF(OR($A263="",K263=""),"",K263-G263)</f>
        <v/>
      </c>
      <c r="M263" s="12">
        <f>IF($A263="","",IF(K263="","not counted yet",IF(ABS(L263)&lt;=$B$3,"Balanced",IF(L263&lt;0,"Short","Over"))))</f>
        <v/>
      </c>
    </row>
    <row r="264">
      <c r="A264" s="13" t="n"/>
      <c r="B264" s="14" t="n"/>
      <c r="C264" s="5" t="n"/>
      <c r="D264" s="5" t="n"/>
      <c r="E264" s="5" t="n"/>
      <c r="F264" s="5" t="n"/>
      <c r="G264" s="10">
        <f>IF($A264="","",SUMIF($A$5:$A$300,$A264,$C$5:$C$300))</f>
        <v/>
      </c>
      <c r="H264" s="10">
        <f>IF($A264="","",SUMIF($A$5:$A$300,$A264,$D$5:$D$300))</f>
        <v/>
      </c>
      <c r="I264" s="10">
        <f>IF($A264="","",SUMIF($A$5:$A$300,$A264,$E$5:$E$300))</f>
        <v/>
      </c>
      <c r="J264" s="10">
        <f>IF($A264="","",SUMIF($A$5:$A$300,$A264,$F$5:$F$300))</f>
        <v/>
      </c>
      <c r="K264" s="10">
        <f>IF($A264="","",IF(SUMPRODUCT(($A$5:$A$300=$A264)*(ISNUMBER($D$5:$D$300)+ISNUMBER($E$5:$E$300)))=0,"",H264+I264-J264))</f>
        <v/>
      </c>
      <c r="L264" s="11">
        <f>IF(OR($A264="",K264=""),"",K264-G264)</f>
        <v/>
      </c>
      <c r="M264" s="12">
        <f>IF($A264="","",IF(K264="","not counted yet",IF(ABS(L264)&lt;=$B$3,"Balanced",IF(L264&lt;0,"Short","Over"))))</f>
        <v/>
      </c>
    </row>
    <row r="265">
      <c r="A265" s="13" t="n"/>
      <c r="B265" s="14" t="n"/>
      <c r="C265" s="5" t="n"/>
      <c r="D265" s="5" t="n"/>
      <c r="E265" s="5" t="n"/>
      <c r="F265" s="5" t="n"/>
      <c r="G265" s="10">
        <f>IF($A265="","",SUMIF($A$5:$A$300,$A265,$C$5:$C$300))</f>
        <v/>
      </c>
      <c r="H265" s="10">
        <f>IF($A265="","",SUMIF($A$5:$A$300,$A265,$D$5:$D$300))</f>
        <v/>
      </c>
      <c r="I265" s="10">
        <f>IF($A265="","",SUMIF($A$5:$A$300,$A265,$E$5:$E$300))</f>
        <v/>
      </c>
      <c r="J265" s="10">
        <f>IF($A265="","",SUMIF($A$5:$A$300,$A265,$F$5:$F$300))</f>
        <v/>
      </c>
      <c r="K265" s="10">
        <f>IF($A265="","",IF(SUMPRODUCT(($A$5:$A$300=$A265)*(ISNUMBER($D$5:$D$300)+ISNUMBER($E$5:$E$300)))=0,"",H265+I265-J265))</f>
        <v/>
      </c>
      <c r="L265" s="11">
        <f>IF(OR($A265="",K265=""),"",K265-G265)</f>
        <v/>
      </c>
      <c r="M265" s="12">
        <f>IF($A265="","",IF(K265="","not counted yet",IF(ABS(L265)&lt;=$B$3,"Balanced",IF(L265&lt;0,"Short","Over"))))</f>
        <v/>
      </c>
    </row>
    <row r="266">
      <c r="A266" s="13" t="n"/>
      <c r="B266" s="14" t="n"/>
      <c r="C266" s="5" t="n"/>
      <c r="D266" s="5" t="n"/>
      <c r="E266" s="5" t="n"/>
      <c r="F266" s="5" t="n"/>
      <c r="G266" s="10">
        <f>IF($A266="","",SUMIF($A$5:$A$300,$A266,$C$5:$C$300))</f>
        <v/>
      </c>
      <c r="H266" s="10">
        <f>IF($A266="","",SUMIF($A$5:$A$300,$A266,$D$5:$D$300))</f>
        <v/>
      </c>
      <c r="I266" s="10">
        <f>IF($A266="","",SUMIF($A$5:$A$300,$A266,$E$5:$E$300))</f>
        <v/>
      </c>
      <c r="J266" s="10">
        <f>IF($A266="","",SUMIF($A$5:$A$300,$A266,$F$5:$F$300))</f>
        <v/>
      </c>
      <c r="K266" s="10">
        <f>IF($A266="","",IF(SUMPRODUCT(($A$5:$A$300=$A266)*(ISNUMBER($D$5:$D$300)+ISNUMBER($E$5:$E$300)))=0,"",H266+I266-J266))</f>
        <v/>
      </c>
      <c r="L266" s="11">
        <f>IF(OR($A266="",K266=""),"",K266-G266)</f>
        <v/>
      </c>
      <c r="M266" s="12">
        <f>IF($A266="","",IF(K266="","not counted yet",IF(ABS(L266)&lt;=$B$3,"Balanced",IF(L266&lt;0,"Short","Over"))))</f>
        <v/>
      </c>
    </row>
    <row r="267">
      <c r="A267" s="13" t="n"/>
      <c r="B267" s="14" t="n"/>
      <c r="C267" s="5" t="n"/>
      <c r="D267" s="5" t="n"/>
      <c r="E267" s="5" t="n"/>
      <c r="F267" s="5" t="n"/>
      <c r="G267" s="10">
        <f>IF($A267="","",SUMIF($A$5:$A$300,$A267,$C$5:$C$300))</f>
        <v/>
      </c>
      <c r="H267" s="10">
        <f>IF($A267="","",SUMIF($A$5:$A$300,$A267,$D$5:$D$300))</f>
        <v/>
      </c>
      <c r="I267" s="10">
        <f>IF($A267="","",SUMIF($A$5:$A$300,$A267,$E$5:$E$300))</f>
        <v/>
      </c>
      <c r="J267" s="10">
        <f>IF($A267="","",SUMIF($A$5:$A$300,$A267,$F$5:$F$300))</f>
        <v/>
      </c>
      <c r="K267" s="10">
        <f>IF($A267="","",IF(SUMPRODUCT(($A$5:$A$300=$A267)*(ISNUMBER($D$5:$D$300)+ISNUMBER($E$5:$E$300)))=0,"",H267+I267-J267))</f>
        <v/>
      </c>
      <c r="L267" s="11">
        <f>IF(OR($A267="",K267=""),"",K267-G267)</f>
        <v/>
      </c>
      <c r="M267" s="12">
        <f>IF($A267="","",IF(K267="","not counted yet",IF(ABS(L267)&lt;=$B$3,"Balanced",IF(L267&lt;0,"Short","Over"))))</f>
        <v/>
      </c>
    </row>
    <row r="268">
      <c r="A268" s="13" t="n"/>
      <c r="B268" s="14" t="n"/>
      <c r="C268" s="5" t="n"/>
      <c r="D268" s="5" t="n"/>
      <c r="E268" s="5" t="n"/>
      <c r="F268" s="5" t="n"/>
      <c r="G268" s="10">
        <f>IF($A268="","",SUMIF($A$5:$A$300,$A268,$C$5:$C$300))</f>
        <v/>
      </c>
      <c r="H268" s="10">
        <f>IF($A268="","",SUMIF($A$5:$A$300,$A268,$D$5:$D$300))</f>
        <v/>
      </c>
      <c r="I268" s="10">
        <f>IF($A268="","",SUMIF($A$5:$A$300,$A268,$E$5:$E$300))</f>
        <v/>
      </c>
      <c r="J268" s="10">
        <f>IF($A268="","",SUMIF($A$5:$A$300,$A268,$F$5:$F$300))</f>
        <v/>
      </c>
      <c r="K268" s="10">
        <f>IF($A268="","",IF(SUMPRODUCT(($A$5:$A$300=$A268)*(ISNUMBER($D$5:$D$300)+ISNUMBER($E$5:$E$300)))=0,"",H268+I268-J268))</f>
        <v/>
      </c>
      <c r="L268" s="11">
        <f>IF(OR($A268="",K268=""),"",K268-G268)</f>
        <v/>
      </c>
      <c r="M268" s="12">
        <f>IF($A268="","",IF(K268="","not counted yet",IF(ABS(L268)&lt;=$B$3,"Balanced",IF(L268&lt;0,"Short","Over"))))</f>
        <v/>
      </c>
    </row>
    <row r="269">
      <c r="A269" s="13" t="n"/>
      <c r="B269" s="14" t="n"/>
      <c r="C269" s="5" t="n"/>
      <c r="D269" s="5" t="n"/>
      <c r="E269" s="5" t="n"/>
      <c r="F269" s="5" t="n"/>
      <c r="G269" s="10">
        <f>IF($A269="","",SUMIF($A$5:$A$300,$A269,$C$5:$C$300))</f>
        <v/>
      </c>
      <c r="H269" s="10">
        <f>IF($A269="","",SUMIF($A$5:$A$300,$A269,$D$5:$D$300))</f>
        <v/>
      </c>
      <c r="I269" s="10">
        <f>IF($A269="","",SUMIF($A$5:$A$300,$A269,$E$5:$E$300))</f>
        <v/>
      </c>
      <c r="J269" s="10">
        <f>IF($A269="","",SUMIF($A$5:$A$300,$A269,$F$5:$F$300))</f>
        <v/>
      </c>
      <c r="K269" s="10">
        <f>IF($A269="","",IF(SUMPRODUCT(($A$5:$A$300=$A269)*(ISNUMBER($D$5:$D$300)+ISNUMBER($E$5:$E$300)))=0,"",H269+I269-J269))</f>
        <v/>
      </c>
      <c r="L269" s="11">
        <f>IF(OR($A269="",K269=""),"",K269-G269)</f>
        <v/>
      </c>
      <c r="M269" s="12">
        <f>IF($A269="","",IF(K269="","not counted yet",IF(ABS(L269)&lt;=$B$3,"Balanced",IF(L269&lt;0,"Short","Over"))))</f>
        <v/>
      </c>
    </row>
    <row r="270">
      <c r="A270" s="13" t="n"/>
      <c r="B270" s="14" t="n"/>
      <c r="C270" s="5" t="n"/>
      <c r="D270" s="5" t="n"/>
      <c r="E270" s="5" t="n"/>
      <c r="F270" s="5" t="n"/>
      <c r="G270" s="10">
        <f>IF($A270="","",SUMIF($A$5:$A$300,$A270,$C$5:$C$300))</f>
        <v/>
      </c>
      <c r="H270" s="10">
        <f>IF($A270="","",SUMIF($A$5:$A$300,$A270,$D$5:$D$300))</f>
        <v/>
      </c>
      <c r="I270" s="10">
        <f>IF($A270="","",SUMIF($A$5:$A$300,$A270,$E$5:$E$300))</f>
        <v/>
      </c>
      <c r="J270" s="10">
        <f>IF($A270="","",SUMIF($A$5:$A$300,$A270,$F$5:$F$300))</f>
        <v/>
      </c>
      <c r="K270" s="10">
        <f>IF($A270="","",IF(SUMPRODUCT(($A$5:$A$300=$A270)*(ISNUMBER($D$5:$D$300)+ISNUMBER($E$5:$E$300)))=0,"",H270+I270-J270))</f>
        <v/>
      </c>
      <c r="L270" s="11">
        <f>IF(OR($A270="",K270=""),"",K270-G270)</f>
        <v/>
      </c>
      <c r="M270" s="12">
        <f>IF($A270="","",IF(K270="","not counted yet",IF(ABS(L270)&lt;=$B$3,"Balanced",IF(L270&lt;0,"Short","Over"))))</f>
        <v/>
      </c>
    </row>
    <row r="271">
      <c r="A271" s="13" t="n"/>
      <c r="B271" s="14" t="n"/>
      <c r="C271" s="5" t="n"/>
      <c r="D271" s="5" t="n"/>
      <c r="E271" s="5" t="n"/>
      <c r="F271" s="5" t="n"/>
      <c r="G271" s="10">
        <f>IF($A271="","",SUMIF($A$5:$A$300,$A271,$C$5:$C$300))</f>
        <v/>
      </c>
      <c r="H271" s="10">
        <f>IF($A271="","",SUMIF($A$5:$A$300,$A271,$D$5:$D$300))</f>
        <v/>
      </c>
      <c r="I271" s="10">
        <f>IF($A271="","",SUMIF($A$5:$A$300,$A271,$E$5:$E$300))</f>
        <v/>
      </c>
      <c r="J271" s="10">
        <f>IF($A271="","",SUMIF($A$5:$A$300,$A271,$F$5:$F$300))</f>
        <v/>
      </c>
      <c r="K271" s="10">
        <f>IF($A271="","",IF(SUMPRODUCT(($A$5:$A$300=$A271)*(ISNUMBER($D$5:$D$300)+ISNUMBER($E$5:$E$300)))=0,"",H271+I271-J271))</f>
        <v/>
      </c>
      <c r="L271" s="11">
        <f>IF(OR($A271="",K271=""),"",K271-G271)</f>
        <v/>
      </c>
      <c r="M271" s="12">
        <f>IF($A271="","",IF(K271="","not counted yet",IF(ABS(L271)&lt;=$B$3,"Balanced",IF(L271&lt;0,"Short","Over"))))</f>
        <v/>
      </c>
    </row>
    <row r="272">
      <c r="A272" s="13" t="n"/>
      <c r="B272" s="14" t="n"/>
      <c r="C272" s="5" t="n"/>
      <c r="D272" s="5" t="n"/>
      <c r="E272" s="5" t="n"/>
      <c r="F272" s="5" t="n"/>
      <c r="G272" s="10">
        <f>IF($A272="","",SUMIF($A$5:$A$300,$A272,$C$5:$C$300))</f>
        <v/>
      </c>
      <c r="H272" s="10">
        <f>IF($A272="","",SUMIF($A$5:$A$300,$A272,$D$5:$D$300))</f>
        <v/>
      </c>
      <c r="I272" s="10">
        <f>IF($A272="","",SUMIF($A$5:$A$300,$A272,$E$5:$E$300))</f>
        <v/>
      </c>
      <c r="J272" s="10">
        <f>IF($A272="","",SUMIF($A$5:$A$300,$A272,$F$5:$F$300))</f>
        <v/>
      </c>
      <c r="K272" s="10">
        <f>IF($A272="","",IF(SUMPRODUCT(($A$5:$A$300=$A272)*(ISNUMBER($D$5:$D$300)+ISNUMBER($E$5:$E$300)))=0,"",H272+I272-J272))</f>
        <v/>
      </c>
      <c r="L272" s="11">
        <f>IF(OR($A272="",K272=""),"",K272-G272)</f>
        <v/>
      </c>
      <c r="M272" s="12">
        <f>IF($A272="","",IF(K272="","not counted yet",IF(ABS(L272)&lt;=$B$3,"Balanced",IF(L272&lt;0,"Short","Over"))))</f>
        <v/>
      </c>
    </row>
    <row r="273">
      <c r="A273" s="13" t="n"/>
      <c r="B273" s="14" t="n"/>
      <c r="C273" s="5" t="n"/>
      <c r="D273" s="5" t="n"/>
      <c r="E273" s="5" t="n"/>
      <c r="F273" s="5" t="n"/>
      <c r="G273" s="10">
        <f>IF($A273="","",SUMIF($A$5:$A$300,$A273,$C$5:$C$300))</f>
        <v/>
      </c>
      <c r="H273" s="10">
        <f>IF($A273="","",SUMIF($A$5:$A$300,$A273,$D$5:$D$300))</f>
        <v/>
      </c>
      <c r="I273" s="10">
        <f>IF($A273="","",SUMIF($A$5:$A$300,$A273,$E$5:$E$300))</f>
        <v/>
      </c>
      <c r="J273" s="10">
        <f>IF($A273="","",SUMIF($A$5:$A$300,$A273,$F$5:$F$300))</f>
        <v/>
      </c>
      <c r="K273" s="10">
        <f>IF($A273="","",IF(SUMPRODUCT(($A$5:$A$300=$A273)*(ISNUMBER($D$5:$D$300)+ISNUMBER($E$5:$E$300)))=0,"",H273+I273-J273))</f>
        <v/>
      </c>
      <c r="L273" s="11">
        <f>IF(OR($A273="",K273=""),"",K273-G273)</f>
        <v/>
      </c>
      <c r="M273" s="12">
        <f>IF($A273="","",IF(K273="","not counted yet",IF(ABS(L273)&lt;=$B$3,"Balanced",IF(L273&lt;0,"Short","Over"))))</f>
        <v/>
      </c>
    </row>
    <row r="274">
      <c r="A274" s="13" t="n"/>
      <c r="B274" s="14" t="n"/>
      <c r="C274" s="5" t="n"/>
      <c r="D274" s="5" t="n"/>
      <c r="E274" s="5" t="n"/>
      <c r="F274" s="5" t="n"/>
      <c r="G274" s="10">
        <f>IF($A274="","",SUMIF($A$5:$A$300,$A274,$C$5:$C$300))</f>
        <v/>
      </c>
      <c r="H274" s="10">
        <f>IF($A274="","",SUMIF($A$5:$A$300,$A274,$D$5:$D$300))</f>
        <v/>
      </c>
      <c r="I274" s="10">
        <f>IF($A274="","",SUMIF($A$5:$A$300,$A274,$E$5:$E$300))</f>
        <v/>
      </c>
      <c r="J274" s="10">
        <f>IF($A274="","",SUMIF($A$5:$A$300,$A274,$F$5:$F$300))</f>
        <v/>
      </c>
      <c r="K274" s="10">
        <f>IF($A274="","",IF(SUMPRODUCT(($A$5:$A$300=$A274)*(ISNUMBER($D$5:$D$300)+ISNUMBER($E$5:$E$300)))=0,"",H274+I274-J274))</f>
        <v/>
      </c>
      <c r="L274" s="11">
        <f>IF(OR($A274="",K274=""),"",K274-G274)</f>
        <v/>
      </c>
      <c r="M274" s="12">
        <f>IF($A274="","",IF(K274="","not counted yet",IF(ABS(L274)&lt;=$B$3,"Balanced",IF(L274&lt;0,"Short","Over"))))</f>
        <v/>
      </c>
    </row>
    <row r="275">
      <c r="A275" s="13" t="n"/>
      <c r="B275" s="14" t="n"/>
      <c r="C275" s="5" t="n"/>
      <c r="D275" s="5" t="n"/>
      <c r="E275" s="5" t="n"/>
      <c r="F275" s="5" t="n"/>
      <c r="G275" s="10">
        <f>IF($A275="","",SUMIF($A$5:$A$300,$A275,$C$5:$C$300))</f>
        <v/>
      </c>
      <c r="H275" s="10">
        <f>IF($A275="","",SUMIF($A$5:$A$300,$A275,$D$5:$D$300))</f>
        <v/>
      </c>
      <c r="I275" s="10">
        <f>IF($A275="","",SUMIF($A$5:$A$300,$A275,$E$5:$E$300))</f>
        <v/>
      </c>
      <c r="J275" s="10">
        <f>IF($A275="","",SUMIF($A$5:$A$300,$A275,$F$5:$F$300))</f>
        <v/>
      </c>
      <c r="K275" s="10">
        <f>IF($A275="","",IF(SUMPRODUCT(($A$5:$A$300=$A275)*(ISNUMBER($D$5:$D$300)+ISNUMBER($E$5:$E$300)))=0,"",H275+I275-J275))</f>
        <v/>
      </c>
      <c r="L275" s="11">
        <f>IF(OR($A275="",K275=""),"",K275-G275)</f>
        <v/>
      </c>
      <c r="M275" s="12">
        <f>IF($A275="","",IF(K275="","not counted yet",IF(ABS(L275)&lt;=$B$3,"Balanced",IF(L275&lt;0,"Short","Over"))))</f>
        <v/>
      </c>
    </row>
    <row r="276">
      <c r="A276" s="13" t="n"/>
      <c r="B276" s="14" t="n"/>
      <c r="C276" s="5" t="n"/>
      <c r="D276" s="5" t="n"/>
      <c r="E276" s="5" t="n"/>
      <c r="F276" s="5" t="n"/>
      <c r="G276" s="10">
        <f>IF($A276="","",SUMIF($A$5:$A$300,$A276,$C$5:$C$300))</f>
        <v/>
      </c>
      <c r="H276" s="10">
        <f>IF($A276="","",SUMIF($A$5:$A$300,$A276,$D$5:$D$300))</f>
        <v/>
      </c>
      <c r="I276" s="10">
        <f>IF($A276="","",SUMIF($A$5:$A$300,$A276,$E$5:$E$300))</f>
        <v/>
      </c>
      <c r="J276" s="10">
        <f>IF($A276="","",SUMIF($A$5:$A$300,$A276,$F$5:$F$300))</f>
        <v/>
      </c>
      <c r="K276" s="10">
        <f>IF($A276="","",IF(SUMPRODUCT(($A$5:$A$300=$A276)*(ISNUMBER($D$5:$D$300)+ISNUMBER($E$5:$E$300)))=0,"",H276+I276-J276))</f>
        <v/>
      </c>
      <c r="L276" s="11">
        <f>IF(OR($A276="",K276=""),"",K276-G276)</f>
        <v/>
      </c>
      <c r="M276" s="12">
        <f>IF($A276="","",IF(K276="","not counted yet",IF(ABS(L276)&lt;=$B$3,"Balanced",IF(L276&lt;0,"Short","Over"))))</f>
        <v/>
      </c>
    </row>
    <row r="277">
      <c r="A277" s="13" t="n"/>
      <c r="B277" s="14" t="n"/>
      <c r="C277" s="5" t="n"/>
      <c r="D277" s="5" t="n"/>
      <c r="E277" s="5" t="n"/>
      <c r="F277" s="5" t="n"/>
      <c r="G277" s="10">
        <f>IF($A277="","",SUMIF($A$5:$A$300,$A277,$C$5:$C$300))</f>
        <v/>
      </c>
      <c r="H277" s="10">
        <f>IF($A277="","",SUMIF($A$5:$A$300,$A277,$D$5:$D$300))</f>
        <v/>
      </c>
      <c r="I277" s="10">
        <f>IF($A277="","",SUMIF($A$5:$A$300,$A277,$E$5:$E$300))</f>
        <v/>
      </c>
      <c r="J277" s="10">
        <f>IF($A277="","",SUMIF($A$5:$A$300,$A277,$F$5:$F$300))</f>
        <v/>
      </c>
      <c r="K277" s="10">
        <f>IF($A277="","",IF(SUMPRODUCT(($A$5:$A$300=$A277)*(ISNUMBER($D$5:$D$300)+ISNUMBER($E$5:$E$300)))=0,"",H277+I277-J277))</f>
        <v/>
      </c>
      <c r="L277" s="11">
        <f>IF(OR($A277="",K277=""),"",K277-G277)</f>
        <v/>
      </c>
      <c r="M277" s="12">
        <f>IF($A277="","",IF(K277="","not counted yet",IF(ABS(L277)&lt;=$B$3,"Balanced",IF(L277&lt;0,"Short","Over"))))</f>
        <v/>
      </c>
    </row>
    <row r="278">
      <c r="A278" s="13" t="n"/>
      <c r="B278" s="14" t="n"/>
      <c r="C278" s="5" t="n"/>
      <c r="D278" s="5" t="n"/>
      <c r="E278" s="5" t="n"/>
      <c r="F278" s="5" t="n"/>
      <c r="G278" s="10">
        <f>IF($A278="","",SUMIF($A$5:$A$300,$A278,$C$5:$C$300))</f>
        <v/>
      </c>
      <c r="H278" s="10">
        <f>IF($A278="","",SUMIF($A$5:$A$300,$A278,$D$5:$D$300))</f>
        <v/>
      </c>
      <c r="I278" s="10">
        <f>IF($A278="","",SUMIF($A$5:$A$300,$A278,$E$5:$E$300))</f>
        <v/>
      </c>
      <c r="J278" s="10">
        <f>IF($A278="","",SUMIF($A$5:$A$300,$A278,$F$5:$F$300))</f>
        <v/>
      </c>
      <c r="K278" s="10">
        <f>IF($A278="","",IF(SUMPRODUCT(($A$5:$A$300=$A278)*(ISNUMBER($D$5:$D$300)+ISNUMBER($E$5:$E$300)))=0,"",H278+I278-J278))</f>
        <v/>
      </c>
      <c r="L278" s="11">
        <f>IF(OR($A278="",K278=""),"",K278-G278)</f>
        <v/>
      </c>
      <c r="M278" s="12">
        <f>IF($A278="","",IF(K278="","not counted yet",IF(ABS(L278)&lt;=$B$3,"Balanced",IF(L278&lt;0,"Short","Over"))))</f>
        <v/>
      </c>
    </row>
    <row r="279">
      <c r="A279" s="13" t="n"/>
      <c r="B279" s="14" t="n"/>
      <c r="C279" s="5" t="n"/>
      <c r="D279" s="5" t="n"/>
      <c r="E279" s="5" t="n"/>
      <c r="F279" s="5" t="n"/>
      <c r="G279" s="10">
        <f>IF($A279="","",SUMIF($A$5:$A$300,$A279,$C$5:$C$300))</f>
        <v/>
      </c>
      <c r="H279" s="10">
        <f>IF($A279="","",SUMIF($A$5:$A$300,$A279,$D$5:$D$300))</f>
        <v/>
      </c>
      <c r="I279" s="10">
        <f>IF($A279="","",SUMIF($A$5:$A$300,$A279,$E$5:$E$300))</f>
        <v/>
      </c>
      <c r="J279" s="10">
        <f>IF($A279="","",SUMIF($A$5:$A$300,$A279,$F$5:$F$300))</f>
        <v/>
      </c>
      <c r="K279" s="10">
        <f>IF($A279="","",IF(SUMPRODUCT(($A$5:$A$300=$A279)*(ISNUMBER($D$5:$D$300)+ISNUMBER($E$5:$E$300)))=0,"",H279+I279-J279))</f>
        <v/>
      </c>
      <c r="L279" s="11">
        <f>IF(OR($A279="",K279=""),"",K279-G279)</f>
        <v/>
      </c>
      <c r="M279" s="12">
        <f>IF($A279="","",IF(K279="","not counted yet",IF(ABS(L279)&lt;=$B$3,"Balanced",IF(L279&lt;0,"Short","Over"))))</f>
        <v/>
      </c>
    </row>
    <row r="280">
      <c r="A280" s="13" t="n"/>
      <c r="B280" s="14" t="n"/>
      <c r="C280" s="5" t="n"/>
      <c r="D280" s="5" t="n"/>
      <c r="E280" s="5" t="n"/>
      <c r="F280" s="5" t="n"/>
      <c r="G280" s="10">
        <f>IF($A280="","",SUMIF($A$5:$A$300,$A280,$C$5:$C$300))</f>
        <v/>
      </c>
      <c r="H280" s="10">
        <f>IF($A280="","",SUMIF($A$5:$A$300,$A280,$D$5:$D$300))</f>
        <v/>
      </c>
      <c r="I280" s="10">
        <f>IF($A280="","",SUMIF($A$5:$A$300,$A280,$E$5:$E$300))</f>
        <v/>
      </c>
      <c r="J280" s="10">
        <f>IF($A280="","",SUMIF($A$5:$A$300,$A280,$F$5:$F$300))</f>
        <v/>
      </c>
      <c r="K280" s="10">
        <f>IF($A280="","",IF(SUMPRODUCT(($A$5:$A$300=$A280)*(ISNUMBER($D$5:$D$300)+ISNUMBER($E$5:$E$300)))=0,"",H280+I280-J280))</f>
        <v/>
      </c>
      <c r="L280" s="11">
        <f>IF(OR($A280="",K280=""),"",K280-G280)</f>
        <v/>
      </c>
      <c r="M280" s="12">
        <f>IF($A280="","",IF(K280="","not counted yet",IF(ABS(L280)&lt;=$B$3,"Balanced",IF(L280&lt;0,"Short","Over"))))</f>
        <v/>
      </c>
    </row>
    <row r="281">
      <c r="A281" s="13" t="n"/>
      <c r="B281" s="14" t="n"/>
      <c r="C281" s="5" t="n"/>
      <c r="D281" s="5" t="n"/>
      <c r="E281" s="5" t="n"/>
      <c r="F281" s="5" t="n"/>
      <c r="G281" s="10">
        <f>IF($A281="","",SUMIF($A$5:$A$300,$A281,$C$5:$C$300))</f>
        <v/>
      </c>
      <c r="H281" s="10">
        <f>IF($A281="","",SUMIF($A$5:$A$300,$A281,$D$5:$D$300))</f>
        <v/>
      </c>
      <c r="I281" s="10">
        <f>IF($A281="","",SUMIF($A$5:$A$300,$A281,$E$5:$E$300))</f>
        <v/>
      </c>
      <c r="J281" s="10">
        <f>IF($A281="","",SUMIF($A$5:$A$300,$A281,$F$5:$F$300))</f>
        <v/>
      </c>
      <c r="K281" s="10">
        <f>IF($A281="","",IF(SUMPRODUCT(($A$5:$A$300=$A281)*(ISNUMBER($D$5:$D$300)+ISNUMBER($E$5:$E$300)))=0,"",H281+I281-J281))</f>
        <v/>
      </c>
      <c r="L281" s="11">
        <f>IF(OR($A281="",K281=""),"",K281-G281)</f>
        <v/>
      </c>
      <c r="M281" s="12">
        <f>IF($A281="","",IF(K281="","not counted yet",IF(ABS(L281)&lt;=$B$3,"Balanced",IF(L281&lt;0,"Short","Over"))))</f>
        <v/>
      </c>
    </row>
    <row r="282">
      <c r="A282" s="13" t="n"/>
      <c r="B282" s="14" t="n"/>
      <c r="C282" s="5" t="n"/>
      <c r="D282" s="5" t="n"/>
      <c r="E282" s="5" t="n"/>
      <c r="F282" s="5" t="n"/>
      <c r="G282" s="10">
        <f>IF($A282="","",SUMIF($A$5:$A$300,$A282,$C$5:$C$300))</f>
        <v/>
      </c>
      <c r="H282" s="10">
        <f>IF($A282="","",SUMIF($A$5:$A$300,$A282,$D$5:$D$300))</f>
        <v/>
      </c>
      <c r="I282" s="10">
        <f>IF($A282="","",SUMIF($A$5:$A$300,$A282,$E$5:$E$300))</f>
        <v/>
      </c>
      <c r="J282" s="10">
        <f>IF($A282="","",SUMIF($A$5:$A$300,$A282,$F$5:$F$300))</f>
        <v/>
      </c>
      <c r="K282" s="10">
        <f>IF($A282="","",IF(SUMPRODUCT(($A$5:$A$300=$A282)*(ISNUMBER($D$5:$D$300)+ISNUMBER($E$5:$E$300)))=0,"",H282+I282-J282))</f>
        <v/>
      </c>
      <c r="L282" s="11">
        <f>IF(OR($A282="",K282=""),"",K282-G282)</f>
        <v/>
      </c>
      <c r="M282" s="12">
        <f>IF($A282="","",IF(K282="","not counted yet",IF(ABS(L282)&lt;=$B$3,"Balanced",IF(L282&lt;0,"Short","Over"))))</f>
        <v/>
      </c>
    </row>
    <row r="283">
      <c r="A283" s="13" t="n"/>
      <c r="B283" s="14" t="n"/>
      <c r="C283" s="5" t="n"/>
      <c r="D283" s="5" t="n"/>
      <c r="E283" s="5" t="n"/>
      <c r="F283" s="5" t="n"/>
      <c r="G283" s="10">
        <f>IF($A283="","",SUMIF($A$5:$A$300,$A283,$C$5:$C$300))</f>
        <v/>
      </c>
      <c r="H283" s="10">
        <f>IF($A283="","",SUMIF($A$5:$A$300,$A283,$D$5:$D$300))</f>
        <v/>
      </c>
      <c r="I283" s="10">
        <f>IF($A283="","",SUMIF($A$5:$A$300,$A283,$E$5:$E$300))</f>
        <v/>
      </c>
      <c r="J283" s="10">
        <f>IF($A283="","",SUMIF($A$5:$A$300,$A283,$F$5:$F$300))</f>
        <v/>
      </c>
      <c r="K283" s="10">
        <f>IF($A283="","",IF(SUMPRODUCT(($A$5:$A$300=$A283)*(ISNUMBER($D$5:$D$300)+ISNUMBER($E$5:$E$300)))=0,"",H283+I283-J283))</f>
        <v/>
      </c>
      <c r="L283" s="11">
        <f>IF(OR($A283="",K283=""),"",K283-G283)</f>
        <v/>
      </c>
      <c r="M283" s="12">
        <f>IF($A283="","",IF(K283="","not counted yet",IF(ABS(L283)&lt;=$B$3,"Balanced",IF(L283&lt;0,"Short","Over"))))</f>
        <v/>
      </c>
    </row>
    <row r="284">
      <c r="A284" s="13" t="n"/>
      <c r="B284" s="14" t="n"/>
      <c r="C284" s="5" t="n"/>
      <c r="D284" s="5" t="n"/>
      <c r="E284" s="5" t="n"/>
      <c r="F284" s="5" t="n"/>
      <c r="G284" s="10">
        <f>IF($A284="","",SUMIF($A$5:$A$300,$A284,$C$5:$C$300))</f>
        <v/>
      </c>
      <c r="H284" s="10">
        <f>IF($A284="","",SUMIF($A$5:$A$300,$A284,$D$5:$D$300))</f>
        <v/>
      </c>
      <c r="I284" s="10">
        <f>IF($A284="","",SUMIF($A$5:$A$300,$A284,$E$5:$E$300))</f>
        <v/>
      </c>
      <c r="J284" s="10">
        <f>IF($A284="","",SUMIF($A$5:$A$300,$A284,$F$5:$F$300))</f>
        <v/>
      </c>
      <c r="K284" s="10">
        <f>IF($A284="","",IF(SUMPRODUCT(($A$5:$A$300=$A284)*(ISNUMBER($D$5:$D$300)+ISNUMBER($E$5:$E$300)))=0,"",H284+I284-J284))</f>
        <v/>
      </c>
      <c r="L284" s="11">
        <f>IF(OR($A284="",K284=""),"",K284-G284)</f>
        <v/>
      </c>
      <c r="M284" s="12">
        <f>IF($A284="","",IF(K284="","not counted yet",IF(ABS(L284)&lt;=$B$3,"Balanced",IF(L284&lt;0,"Short","Over"))))</f>
        <v/>
      </c>
    </row>
    <row r="285">
      <c r="A285" s="13" t="n"/>
      <c r="B285" s="14" t="n"/>
      <c r="C285" s="5" t="n"/>
      <c r="D285" s="5" t="n"/>
      <c r="E285" s="5" t="n"/>
      <c r="F285" s="5" t="n"/>
      <c r="G285" s="10">
        <f>IF($A285="","",SUMIF($A$5:$A$300,$A285,$C$5:$C$300))</f>
        <v/>
      </c>
      <c r="H285" s="10">
        <f>IF($A285="","",SUMIF($A$5:$A$300,$A285,$D$5:$D$300))</f>
        <v/>
      </c>
      <c r="I285" s="10">
        <f>IF($A285="","",SUMIF($A$5:$A$300,$A285,$E$5:$E$300))</f>
        <v/>
      </c>
      <c r="J285" s="10">
        <f>IF($A285="","",SUMIF($A$5:$A$300,$A285,$F$5:$F$300))</f>
        <v/>
      </c>
      <c r="K285" s="10">
        <f>IF($A285="","",IF(SUMPRODUCT(($A$5:$A$300=$A285)*(ISNUMBER($D$5:$D$300)+ISNUMBER($E$5:$E$300)))=0,"",H285+I285-J285))</f>
        <v/>
      </c>
      <c r="L285" s="11">
        <f>IF(OR($A285="",K285=""),"",K285-G285)</f>
        <v/>
      </c>
      <c r="M285" s="12">
        <f>IF($A285="","",IF(K285="","not counted yet",IF(ABS(L285)&lt;=$B$3,"Balanced",IF(L285&lt;0,"Short","Over"))))</f>
        <v/>
      </c>
    </row>
    <row r="286">
      <c r="A286" s="13" t="n"/>
      <c r="B286" s="14" t="n"/>
      <c r="C286" s="5" t="n"/>
      <c r="D286" s="5" t="n"/>
      <c r="E286" s="5" t="n"/>
      <c r="F286" s="5" t="n"/>
      <c r="G286" s="10">
        <f>IF($A286="","",SUMIF($A$5:$A$300,$A286,$C$5:$C$300))</f>
        <v/>
      </c>
      <c r="H286" s="10">
        <f>IF($A286="","",SUMIF($A$5:$A$300,$A286,$D$5:$D$300))</f>
        <v/>
      </c>
      <c r="I286" s="10">
        <f>IF($A286="","",SUMIF($A$5:$A$300,$A286,$E$5:$E$300))</f>
        <v/>
      </c>
      <c r="J286" s="10">
        <f>IF($A286="","",SUMIF($A$5:$A$300,$A286,$F$5:$F$300))</f>
        <v/>
      </c>
      <c r="K286" s="10">
        <f>IF($A286="","",IF(SUMPRODUCT(($A$5:$A$300=$A286)*(ISNUMBER($D$5:$D$300)+ISNUMBER($E$5:$E$300)))=0,"",H286+I286-J286))</f>
        <v/>
      </c>
      <c r="L286" s="11">
        <f>IF(OR($A286="",K286=""),"",K286-G286)</f>
        <v/>
      </c>
      <c r="M286" s="12">
        <f>IF($A286="","",IF(K286="","not counted yet",IF(ABS(L286)&lt;=$B$3,"Balanced",IF(L286&lt;0,"Short","Over"))))</f>
        <v/>
      </c>
    </row>
    <row r="287">
      <c r="A287" s="13" t="n"/>
      <c r="B287" s="14" t="n"/>
      <c r="C287" s="5" t="n"/>
      <c r="D287" s="5" t="n"/>
      <c r="E287" s="5" t="n"/>
      <c r="F287" s="5" t="n"/>
      <c r="G287" s="10">
        <f>IF($A287="","",SUMIF($A$5:$A$300,$A287,$C$5:$C$300))</f>
        <v/>
      </c>
      <c r="H287" s="10">
        <f>IF($A287="","",SUMIF($A$5:$A$300,$A287,$D$5:$D$300))</f>
        <v/>
      </c>
      <c r="I287" s="10">
        <f>IF($A287="","",SUMIF($A$5:$A$300,$A287,$E$5:$E$300))</f>
        <v/>
      </c>
      <c r="J287" s="10">
        <f>IF($A287="","",SUMIF($A$5:$A$300,$A287,$F$5:$F$300))</f>
        <v/>
      </c>
      <c r="K287" s="10">
        <f>IF($A287="","",IF(SUMPRODUCT(($A$5:$A$300=$A287)*(ISNUMBER($D$5:$D$300)+ISNUMBER($E$5:$E$300)))=0,"",H287+I287-J287))</f>
        <v/>
      </c>
      <c r="L287" s="11">
        <f>IF(OR($A287="",K287=""),"",K287-G287)</f>
        <v/>
      </c>
      <c r="M287" s="12">
        <f>IF($A287="","",IF(K287="","not counted yet",IF(ABS(L287)&lt;=$B$3,"Balanced",IF(L287&lt;0,"Short","Over"))))</f>
        <v/>
      </c>
    </row>
    <row r="288">
      <c r="A288" s="13" t="n"/>
      <c r="B288" s="14" t="n"/>
      <c r="C288" s="5" t="n"/>
      <c r="D288" s="5" t="n"/>
      <c r="E288" s="5" t="n"/>
      <c r="F288" s="5" t="n"/>
      <c r="G288" s="10">
        <f>IF($A288="","",SUMIF($A$5:$A$300,$A288,$C$5:$C$300))</f>
        <v/>
      </c>
      <c r="H288" s="10">
        <f>IF($A288="","",SUMIF($A$5:$A$300,$A288,$D$5:$D$300))</f>
        <v/>
      </c>
      <c r="I288" s="10">
        <f>IF($A288="","",SUMIF($A$5:$A$300,$A288,$E$5:$E$300))</f>
        <v/>
      </c>
      <c r="J288" s="10">
        <f>IF($A288="","",SUMIF($A$5:$A$300,$A288,$F$5:$F$300))</f>
        <v/>
      </c>
      <c r="K288" s="10">
        <f>IF($A288="","",IF(SUMPRODUCT(($A$5:$A$300=$A288)*(ISNUMBER($D$5:$D$300)+ISNUMBER($E$5:$E$300)))=0,"",H288+I288-J288))</f>
        <v/>
      </c>
      <c r="L288" s="11">
        <f>IF(OR($A288="",K288=""),"",K288-G288)</f>
        <v/>
      </c>
      <c r="M288" s="12">
        <f>IF($A288="","",IF(K288="","not counted yet",IF(ABS(L288)&lt;=$B$3,"Balanced",IF(L288&lt;0,"Short","Over"))))</f>
        <v/>
      </c>
    </row>
    <row r="289">
      <c r="A289" s="13" t="n"/>
      <c r="B289" s="14" t="n"/>
      <c r="C289" s="5" t="n"/>
      <c r="D289" s="5" t="n"/>
      <c r="E289" s="5" t="n"/>
      <c r="F289" s="5" t="n"/>
      <c r="G289" s="10">
        <f>IF($A289="","",SUMIF($A$5:$A$300,$A289,$C$5:$C$300))</f>
        <v/>
      </c>
      <c r="H289" s="10">
        <f>IF($A289="","",SUMIF($A$5:$A$300,$A289,$D$5:$D$300))</f>
        <v/>
      </c>
      <c r="I289" s="10">
        <f>IF($A289="","",SUMIF($A$5:$A$300,$A289,$E$5:$E$300))</f>
        <v/>
      </c>
      <c r="J289" s="10">
        <f>IF($A289="","",SUMIF($A$5:$A$300,$A289,$F$5:$F$300))</f>
        <v/>
      </c>
      <c r="K289" s="10">
        <f>IF($A289="","",IF(SUMPRODUCT(($A$5:$A$300=$A289)*(ISNUMBER($D$5:$D$300)+ISNUMBER($E$5:$E$300)))=0,"",H289+I289-J289))</f>
        <v/>
      </c>
      <c r="L289" s="11">
        <f>IF(OR($A289="",K289=""),"",K289-G289)</f>
        <v/>
      </c>
      <c r="M289" s="12">
        <f>IF($A289="","",IF(K289="","not counted yet",IF(ABS(L289)&lt;=$B$3,"Balanced",IF(L289&lt;0,"Short","Over"))))</f>
        <v/>
      </c>
    </row>
    <row r="290">
      <c r="A290" s="13" t="n"/>
      <c r="B290" s="14" t="n"/>
      <c r="C290" s="5" t="n"/>
      <c r="D290" s="5" t="n"/>
      <c r="E290" s="5" t="n"/>
      <c r="F290" s="5" t="n"/>
      <c r="G290" s="10">
        <f>IF($A290="","",SUMIF($A$5:$A$300,$A290,$C$5:$C$300))</f>
        <v/>
      </c>
      <c r="H290" s="10">
        <f>IF($A290="","",SUMIF($A$5:$A$300,$A290,$D$5:$D$300))</f>
        <v/>
      </c>
      <c r="I290" s="10">
        <f>IF($A290="","",SUMIF($A$5:$A$300,$A290,$E$5:$E$300))</f>
        <v/>
      </c>
      <c r="J290" s="10">
        <f>IF($A290="","",SUMIF($A$5:$A$300,$A290,$F$5:$F$300))</f>
        <v/>
      </c>
      <c r="K290" s="10">
        <f>IF($A290="","",IF(SUMPRODUCT(($A$5:$A$300=$A290)*(ISNUMBER($D$5:$D$300)+ISNUMBER($E$5:$E$300)))=0,"",H290+I290-J290))</f>
        <v/>
      </c>
      <c r="L290" s="11">
        <f>IF(OR($A290="",K290=""),"",K290-G290)</f>
        <v/>
      </c>
      <c r="M290" s="12">
        <f>IF($A290="","",IF(K290="","not counted yet",IF(ABS(L290)&lt;=$B$3,"Balanced",IF(L290&lt;0,"Short","Over"))))</f>
        <v/>
      </c>
    </row>
    <row r="291">
      <c r="A291" s="13" t="n"/>
      <c r="B291" s="14" t="n"/>
      <c r="C291" s="5" t="n"/>
      <c r="D291" s="5" t="n"/>
      <c r="E291" s="5" t="n"/>
      <c r="F291" s="5" t="n"/>
      <c r="G291" s="10">
        <f>IF($A291="","",SUMIF($A$5:$A$300,$A291,$C$5:$C$300))</f>
        <v/>
      </c>
      <c r="H291" s="10">
        <f>IF($A291="","",SUMIF($A$5:$A$300,$A291,$D$5:$D$300))</f>
        <v/>
      </c>
      <c r="I291" s="10">
        <f>IF($A291="","",SUMIF($A$5:$A$300,$A291,$E$5:$E$300))</f>
        <v/>
      </c>
      <c r="J291" s="10">
        <f>IF($A291="","",SUMIF($A$5:$A$300,$A291,$F$5:$F$300))</f>
        <v/>
      </c>
      <c r="K291" s="10">
        <f>IF($A291="","",IF(SUMPRODUCT(($A$5:$A$300=$A291)*(ISNUMBER($D$5:$D$300)+ISNUMBER($E$5:$E$300)))=0,"",H291+I291-J291))</f>
        <v/>
      </c>
      <c r="L291" s="11">
        <f>IF(OR($A291="",K291=""),"",K291-G291)</f>
        <v/>
      </c>
      <c r="M291" s="12">
        <f>IF($A291="","",IF(K291="","not counted yet",IF(ABS(L291)&lt;=$B$3,"Balanced",IF(L291&lt;0,"Short","Over"))))</f>
        <v/>
      </c>
    </row>
    <row r="292">
      <c r="A292" s="13" t="n"/>
      <c r="B292" s="14" t="n"/>
      <c r="C292" s="5" t="n"/>
      <c r="D292" s="5" t="n"/>
      <c r="E292" s="5" t="n"/>
      <c r="F292" s="5" t="n"/>
      <c r="G292" s="10">
        <f>IF($A292="","",SUMIF($A$5:$A$300,$A292,$C$5:$C$300))</f>
        <v/>
      </c>
      <c r="H292" s="10">
        <f>IF($A292="","",SUMIF($A$5:$A$300,$A292,$D$5:$D$300))</f>
        <v/>
      </c>
      <c r="I292" s="10">
        <f>IF($A292="","",SUMIF($A$5:$A$300,$A292,$E$5:$E$300))</f>
        <v/>
      </c>
      <c r="J292" s="10">
        <f>IF($A292="","",SUMIF($A$5:$A$300,$A292,$F$5:$F$300))</f>
        <v/>
      </c>
      <c r="K292" s="10">
        <f>IF($A292="","",IF(SUMPRODUCT(($A$5:$A$300=$A292)*(ISNUMBER($D$5:$D$300)+ISNUMBER($E$5:$E$300)))=0,"",H292+I292-J292))</f>
        <v/>
      </c>
      <c r="L292" s="11">
        <f>IF(OR($A292="",K292=""),"",K292-G292)</f>
        <v/>
      </c>
      <c r="M292" s="12">
        <f>IF($A292="","",IF(K292="","not counted yet",IF(ABS(L292)&lt;=$B$3,"Balanced",IF(L292&lt;0,"Short","Over"))))</f>
        <v/>
      </c>
    </row>
    <row r="293">
      <c r="A293" s="13" t="n"/>
      <c r="B293" s="14" t="n"/>
      <c r="C293" s="5" t="n"/>
      <c r="D293" s="5" t="n"/>
      <c r="E293" s="5" t="n"/>
      <c r="F293" s="5" t="n"/>
      <c r="G293" s="10">
        <f>IF($A293="","",SUMIF($A$5:$A$300,$A293,$C$5:$C$300))</f>
        <v/>
      </c>
      <c r="H293" s="10">
        <f>IF($A293="","",SUMIF($A$5:$A$300,$A293,$D$5:$D$300))</f>
        <v/>
      </c>
      <c r="I293" s="10">
        <f>IF($A293="","",SUMIF($A$5:$A$300,$A293,$E$5:$E$300))</f>
        <v/>
      </c>
      <c r="J293" s="10">
        <f>IF($A293="","",SUMIF($A$5:$A$300,$A293,$F$5:$F$300))</f>
        <v/>
      </c>
      <c r="K293" s="10">
        <f>IF($A293="","",IF(SUMPRODUCT(($A$5:$A$300=$A293)*(ISNUMBER($D$5:$D$300)+ISNUMBER($E$5:$E$300)))=0,"",H293+I293-J293))</f>
        <v/>
      </c>
      <c r="L293" s="11">
        <f>IF(OR($A293="",K293=""),"",K293-G293)</f>
        <v/>
      </c>
      <c r="M293" s="12">
        <f>IF($A293="","",IF(K293="","not counted yet",IF(ABS(L293)&lt;=$B$3,"Balanced",IF(L293&lt;0,"Short","Over"))))</f>
        <v/>
      </c>
    </row>
    <row r="294">
      <c r="A294" s="13" t="n"/>
      <c r="B294" s="14" t="n"/>
      <c r="C294" s="5" t="n"/>
      <c r="D294" s="5" t="n"/>
      <c r="E294" s="5" t="n"/>
      <c r="F294" s="5" t="n"/>
      <c r="G294" s="10">
        <f>IF($A294="","",SUMIF($A$5:$A$300,$A294,$C$5:$C$300))</f>
        <v/>
      </c>
      <c r="H294" s="10">
        <f>IF($A294="","",SUMIF($A$5:$A$300,$A294,$D$5:$D$300))</f>
        <v/>
      </c>
      <c r="I294" s="10">
        <f>IF($A294="","",SUMIF($A$5:$A$300,$A294,$E$5:$E$300))</f>
        <v/>
      </c>
      <c r="J294" s="10">
        <f>IF($A294="","",SUMIF($A$5:$A$300,$A294,$F$5:$F$300))</f>
        <v/>
      </c>
      <c r="K294" s="10">
        <f>IF($A294="","",IF(SUMPRODUCT(($A$5:$A$300=$A294)*(ISNUMBER($D$5:$D$300)+ISNUMBER($E$5:$E$300)))=0,"",H294+I294-J294))</f>
        <v/>
      </c>
      <c r="L294" s="11">
        <f>IF(OR($A294="",K294=""),"",K294-G294)</f>
        <v/>
      </c>
      <c r="M294" s="12">
        <f>IF($A294="","",IF(K294="","not counted yet",IF(ABS(L294)&lt;=$B$3,"Balanced",IF(L294&lt;0,"Short","Over"))))</f>
        <v/>
      </c>
    </row>
    <row r="295">
      <c r="A295" s="13" t="n"/>
      <c r="B295" s="14" t="n"/>
      <c r="C295" s="5" t="n"/>
      <c r="D295" s="5" t="n"/>
      <c r="E295" s="5" t="n"/>
      <c r="F295" s="5" t="n"/>
      <c r="G295" s="10">
        <f>IF($A295="","",SUMIF($A$5:$A$300,$A295,$C$5:$C$300))</f>
        <v/>
      </c>
      <c r="H295" s="10">
        <f>IF($A295="","",SUMIF($A$5:$A$300,$A295,$D$5:$D$300))</f>
        <v/>
      </c>
      <c r="I295" s="10">
        <f>IF($A295="","",SUMIF($A$5:$A$300,$A295,$E$5:$E$300))</f>
        <v/>
      </c>
      <c r="J295" s="10">
        <f>IF($A295="","",SUMIF($A$5:$A$300,$A295,$F$5:$F$300))</f>
        <v/>
      </c>
      <c r="K295" s="10">
        <f>IF($A295="","",IF(SUMPRODUCT(($A$5:$A$300=$A295)*(ISNUMBER($D$5:$D$300)+ISNUMBER($E$5:$E$300)))=0,"",H295+I295-J295))</f>
        <v/>
      </c>
      <c r="L295" s="11">
        <f>IF(OR($A295="",K295=""),"",K295-G295)</f>
        <v/>
      </c>
      <c r="M295" s="12">
        <f>IF($A295="","",IF(K295="","not counted yet",IF(ABS(L295)&lt;=$B$3,"Balanced",IF(L295&lt;0,"Short","Over"))))</f>
        <v/>
      </c>
    </row>
    <row r="296">
      <c r="A296" s="13" t="n"/>
      <c r="B296" s="14" t="n"/>
      <c r="C296" s="5" t="n"/>
      <c r="D296" s="5" t="n"/>
      <c r="E296" s="5" t="n"/>
      <c r="F296" s="5" t="n"/>
      <c r="G296" s="10">
        <f>IF($A296="","",SUMIF($A$5:$A$300,$A296,$C$5:$C$300))</f>
        <v/>
      </c>
      <c r="H296" s="10">
        <f>IF($A296="","",SUMIF($A$5:$A$300,$A296,$D$5:$D$300))</f>
        <v/>
      </c>
      <c r="I296" s="10">
        <f>IF($A296="","",SUMIF($A$5:$A$300,$A296,$E$5:$E$300))</f>
        <v/>
      </c>
      <c r="J296" s="10">
        <f>IF($A296="","",SUMIF($A$5:$A$300,$A296,$F$5:$F$300))</f>
        <v/>
      </c>
      <c r="K296" s="10">
        <f>IF($A296="","",IF(SUMPRODUCT(($A$5:$A$300=$A296)*(ISNUMBER($D$5:$D$300)+ISNUMBER($E$5:$E$300)))=0,"",H296+I296-J296))</f>
        <v/>
      </c>
      <c r="L296" s="11">
        <f>IF(OR($A296="",K296=""),"",K296-G296)</f>
        <v/>
      </c>
      <c r="M296" s="12">
        <f>IF($A296="","",IF(K296="","not counted yet",IF(ABS(L296)&lt;=$B$3,"Balanced",IF(L296&lt;0,"Short","Over"))))</f>
        <v/>
      </c>
    </row>
    <row r="297">
      <c r="A297" s="13" t="n"/>
      <c r="B297" s="14" t="n"/>
      <c r="C297" s="5" t="n"/>
      <c r="D297" s="5" t="n"/>
      <c r="E297" s="5" t="n"/>
      <c r="F297" s="5" t="n"/>
      <c r="G297" s="10">
        <f>IF($A297="","",SUMIF($A$5:$A$300,$A297,$C$5:$C$300))</f>
        <v/>
      </c>
      <c r="H297" s="10">
        <f>IF($A297="","",SUMIF($A$5:$A$300,$A297,$D$5:$D$300))</f>
        <v/>
      </c>
      <c r="I297" s="10">
        <f>IF($A297="","",SUMIF($A$5:$A$300,$A297,$E$5:$E$300))</f>
        <v/>
      </c>
      <c r="J297" s="10">
        <f>IF($A297="","",SUMIF($A$5:$A$300,$A297,$F$5:$F$300))</f>
        <v/>
      </c>
      <c r="K297" s="10">
        <f>IF($A297="","",IF(SUMPRODUCT(($A$5:$A$300=$A297)*(ISNUMBER($D$5:$D$300)+ISNUMBER($E$5:$E$300)))=0,"",H297+I297-J297))</f>
        <v/>
      </c>
      <c r="L297" s="11">
        <f>IF(OR($A297="",K297=""),"",K297-G297)</f>
        <v/>
      </c>
      <c r="M297" s="12">
        <f>IF($A297="","",IF(K297="","not counted yet",IF(ABS(L297)&lt;=$B$3,"Balanced",IF(L297&lt;0,"Short","Over"))))</f>
        <v/>
      </c>
    </row>
    <row r="298">
      <c r="A298" s="13" t="n"/>
      <c r="B298" s="14" t="n"/>
      <c r="C298" s="5" t="n"/>
      <c r="D298" s="5" t="n"/>
      <c r="E298" s="5" t="n"/>
      <c r="F298" s="5" t="n"/>
      <c r="G298" s="10">
        <f>IF($A298="","",SUMIF($A$5:$A$300,$A298,$C$5:$C$300))</f>
        <v/>
      </c>
      <c r="H298" s="10">
        <f>IF($A298="","",SUMIF($A$5:$A$300,$A298,$D$5:$D$300))</f>
        <v/>
      </c>
      <c r="I298" s="10">
        <f>IF($A298="","",SUMIF($A$5:$A$300,$A298,$E$5:$E$300))</f>
        <v/>
      </c>
      <c r="J298" s="10">
        <f>IF($A298="","",SUMIF($A$5:$A$300,$A298,$F$5:$F$300))</f>
        <v/>
      </c>
      <c r="K298" s="10">
        <f>IF($A298="","",IF(SUMPRODUCT(($A$5:$A$300=$A298)*(ISNUMBER($D$5:$D$300)+ISNUMBER($E$5:$E$300)))=0,"",H298+I298-J298))</f>
        <v/>
      </c>
      <c r="L298" s="11">
        <f>IF(OR($A298="",K298=""),"",K298-G298)</f>
        <v/>
      </c>
      <c r="M298" s="12">
        <f>IF($A298="","",IF(K298="","not counted yet",IF(ABS(L298)&lt;=$B$3,"Balanced",IF(L298&lt;0,"Short","Over"))))</f>
        <v/>
      </c>
    </row>
    <row r="299">
      <c r="A299" s="13" t="n"/>
      <c r="B299" s="14" t="n"/>
      <c r="C299" s="5" t="n"/>
      <c r="D299" s="5" t="n"/>
      <c r="E299" s="5" t="n"/>
      <c r="F299" s="5" t="n"/>
      <c r="G299" s="10">
        <f>IF($A299="","",SUMIF($A$5:$A$300,$A299,$C$5:$C$300))</f>
        <v/>
      </c>
      <c r="H299" s="10">
        <f>IF($A299="","",SUMIF($A$5:$A$300,$A299,$D$5:$D$300))</f>
        <v/>
      </c>
      <c r="I299" s="10">
        <f>IF($A299="","",SUMIF($A$5:$A$300,$A299,$E$5:$E$300))</f>
        <v/>
      </c>
      <c r="J299" s="10">
        <f>IF($A299="","",SUMIF($A$5:$A$300,$A299,$F$5:$F$300))</f>
        <v/>
      </c>
      <c r="K299" s="10">
        <f>IF($A299="","",IF(SUMPRODUCT(($A$5:$A$300=$A299)*(ISNUMBER($D$5:$D$300)+ISNUMBER($E$5:$E$300)))=0,"",H299+I299-J299))</f>
        <v/>
      </c>
      <c r="L299" s="11">
        <f>IF(OR($A299="",K299=""),"",K299-G299)</f>
        <v/>
      </c>
      <c r="M299" s="12">
        <f>IF($A299="","",IF(K299="","not counted yet",IF(ABS(L299)&lt;=$B$3,"Balanced",IF(L299&lt;0,"Short","Over"))))</f>
        <v/>
      </c>
    </row>
    <row r="300">
      <c r="A300" s="13" t="n"/>
      <c r="B300" s="14" t="n"/>
      <c r="C300" s="5" t="n"/>
      <c r="D300" s="5" t="n"/>
      <c r="E300" s="5" t="n"/>
      <c r="F300" s="5" t="n"/>
      <c r="G300" s="10">
        <f>IF($A300="","",SUMIF($A$5:$A$300,$A300,$C$5:$C$300))</f>
        <v/>
      </c>
      <c r="H300" s="10">
        <f>IF($A300="","",SUMIF($A$5:$A$300,$A300,$D$5:$D$300))</f>
        <v/>
      </c>
      <c r="I300" s="10">
        <f>IF($A300="","",SUMIF($A$5:$A$300,$A300,$E$5:$E$300))</f>
        <v/>
      </c>
      <c r="J300" s="10">
        <f>IF($A300="","",SUMIF($A$5:$A$300,$A300,$F$5:$F$300))</f>
        <v/>
      </c>
      <c r="K300" s="10">
        <f>IF($A300="","",IF(SUMPRODUCT(($A$5:$A$300=$A300)*(ISNUMBER($D$5:$D$300)+ISNUMBER($E$5:$E$300)))=0,"",H300+I300-J300))</f>
        <v/>
      </c>
      <c r="L300" s="11">
        <f>IF(OR($A300="",K300=""),"",K300-G300)</f>
        <v/>
      </c>
      <c r="M300" s="12">
        <f>IF($A300="","",IF(K300="","not counted yet",IF(ABS(L300)&lt;=$B$3,"Balanced",IF(L300&lt;0,"Short","Over"))))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1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Sold</t>
        </is>
      </c>
    </row>
    <row r="2">
      <c r="A2" s="4" t="inlineStr">
        <is>
          <t>One row per line the receipt sold. What one sale takes: a pint 1, a half 0.5, a large glass 175, a bottle 1.</t>
        </is>
      </c>
    </row>
    <row r="4" ht="30" customHeight="1">
      <c r="A4" s="6" t="inlineStr">
        <is>
          <t>Date</t>
        </is>
      </c>
      <c r="B4" s="6" t="inlineStr">
        <is>
          <t>Cellar line</t>
        </is>
      </c>
      <c r="C4" s="6" t="inlineStr">
        <is>
          <t>What the till called it</t>
        </is>
      </c>
      <c r="D4" s="6" t="inlineStr">
        <is>
          <t>How many</t>
        </is>
      </c>
      <c r="E4" s="6" t="inlineStr">
        <is>
          <t>Each takes</t>
        </is>
      </c>
      <c r="F4" s="6" t="inlineStr">
        <is>
          <t>Taken off</t>
        </is>
      </c>
      <c r="G4" s="6" t="inlineStr">
        <is>
          <t>Matched</t>
        </is>
      </c>
    </row>
    <row r="5">
      <c r="A5" s="7" t="n">
        <v>46257</v>
      </c>
      <c r="B5" s="15" t="inlineStr">
        <is>
          <t>Taddy Lager</t>
        </is>
      </c>
      <c r="C5" s="15" t="inlineStr">
        <is>
          <t>PINT TADDY LAGER</t>
        </is>
      </c>
      <c r="D5" s="16" t="n">
        <v>120</v>
      </c>
      <c r="E5" s="16" t="n">
        <v>1</v>
      </c>
      <c r="F5" s="17">
        <f>IF(OR($B5="",$D5=""),"",$D5*$E5)</f>
        <v/>
      </c>
      <c r="G5" s="12">
        <f>IF($B5="","",IF(COUNTIF(Cellar!$A$5:$A$31,$B5)=0,"NOT IN THE CELLAR","ok"))</f>
        <v/>
      </c>
    </row>
    <row r="6">
      <c r="A6" s="7" t="n">
        <v>46257</v>
      </c>
      <c r="B6" s="15" t="inlineStr">
        <is>
          <t>Taddy Lager</t>
        </is>
      </c>
      <c r="C6" s="15" t="inlineStr">
        <is>
          <t>HALF TADDY LAGER</t>
        </is>
      </c>
      <c r="D6" s="16" t="n">
        <v>19</v>
      </c>
      <c r="E6" s="16" t="n">
        <v>0.5</v>
      </c>
      <c r="F6" s="17">
        <f>IF(OR($B6="",$D6=""),"",$D6*$E6)</f>
        <v/>
      </c>
      <c r="G6" s="12">
        <f>IF($B6="","",IF(COUNTIF(Cellar!$A$5:$A$31,$B6)=0,"NOT IN THE CELLAR","ok"))</f>
        <v/>
      </c>
    </row>
    <row r="7">
      <c r="A7" s="7" t="n">
        <v>46257</v>
      </c>
      <c r="B7" s="15" t="inlineStr">
        <is>
          <t>Alpine</t>
        </is>
      </c>
      <c r="C7" s="15" t="inlineStr">
        <is>
          <t>PINT ALPINE</t>
        </is>
      </c>
      <c r="D7" s="16" t="n">
        <v>66</v>
      </c>
      <c r="E7" s="16" t="n">
        <v>1</v>
      </c>
      <c r="F7" s="17">
        <f>IF(OR($B7="",$D7=""),"",$D7*$E7)</f>
        <v/>
      </c>
      <c r="G7" s="12">
        <f>IF($B7="","",IF(COUNTIF(Cellar!$A$5:$A$31,$B7)=0,"NOT IN THE CELLAR","ok"))</f>
        <v/>
      </c>
    </row>
    <row r="8">
      <c r="A8" s="7" t="n">
        <v>46257</v>
      </c>
      <c r="B8" s="15" t="inlineStr">
        <is>
          <t>Alpine</t>
        </is>
      </c>
      <c r="C8" s="15" t="inlineStr">
        <is>
          <t>HALF ALPINE</t>
        </is>
      </c>
      <c r="D8" s="16" t="n">
        <v>26</v>
      </c>
      <c r="E8" s="16" t="n">
        <v>0.5</v>
      </c>
      <c r="F8" s="17">
        <f>IF(OR($B8="",$D8=""),"",$D8*$E8)</f>
        <v/>
      </c>
      <c r="G8" s="12">
        <f>IF($B8="","",IF(COUNTIF(Cellar!$A$5:$A$31,$B8)=0,"NOT IN THE CELLAR","ok"))</f>
        <v/>
      </c>
    </row>
    <row r="9">
      <c r="A9" s="7" t="n">
        <v>46257</v>
      </c>
      <c r="B9" s="15" t="inlineStr">
        <is>
          <t>Cider</t>
        </is>
      </c>
      <c r="C9" s="15" t="inlineStr">
        <is>
          <t>PINT CIDER</t>
        </is>
      </c>
      <c r="D9" s="16" t="n">
        <v>28</v>
      </c>
      <c r="E9" s="16" t="n">
        <v>1</v>
      </c>
      <c r="F9" s="17">
        <f>IF(OR($B9="",$D9=""),"",$D9*$E9)</f>
        <v/>
      </c>
      <c r="G9" s="12">
        <f>IF($B9="","",IF(COUNTIF(Cellar!$A$5:$A$31,$B9)=0,"NOT IN THE CELLAR","ok"))</f>
        <v/>
      </c>
    </row>
    <row r="10">
      <c r="A10" s="7" t="n">
        <v>46257</v>
      </c>
      <c r="B10" s="15" t="inlineStr">
        <is>
          <t>Cider</t>
        </is>
      </c>
      <c r="C10" s="15" t="inlineStr">
        <is>
          <t>HALF CIDER</t>
        </is>
      </c>
      <c r="D10" s="16" t="n">
        <v>6</v>
      </c>
      <c r="E10" s="16" t="n">
        <v>0.5</v>
      </c>
      <c r="F10" s="17">
        <f>IF(OR($B10="",$D10=""),"",$D10*$E10)</f>
        <v/>
      </c>
      <c r="G10" s="12">
        <f>IF($B10="","",IF(COUNTIF(Cellar!$A$5:$A$31,$B10)=0,"NOT IN THE CELLAR","ok"))</f>
        <v/>
      </c>
    </row>
    <row r="11">
      <c r="A11" s="7" t="n">
        <v>46257</v>
      </c>
      <c r="B11" s="15" t="inlineStr">
        <is>
          <t>Stout</t>
        </is>
      </c>
      <c r="C11" s="15" t="inlineStr">
        <is>
          <t>PINT STOUT</t>
        </is>
      </c>
      <c r="D11" s="16" t="n">
        <v>24</v>
      </c>
      <c r="E11" s="16" t="n">
        <v>1</v>
      </c>
      <c r="F11" s="17">
        <f>IF(OR($B11="",$D11=""),"",$D11*$E11)</f>
        <v/>
      </c>
      <c r="G11" s="12">
        <f>IF($B11="","",IF(COUNTIF(Cellar!$A$5:$A$31,$B11)=0,"NOT IN THE CELLAR","ok"))</f>
        <v/>
      </c>
    </row>
    <row r="12">
      <c r="A12" s="7" t="n">
        <v>46257</v>
      </c>
      <c r="B12" s="15" t="inlineStr">
        <is>
          <t>Dark Mild</t>
        </is>
      </c>
      <c r="C12" s="15" t="inlineStr">
        <is>
          <t>PINT DARK MILD</t>
        </is>
      </c>
      <c r="D12" s="16" t="n">
        <v>5</v>
      </c>
      <c r="E12" s="16" t="n">
        <v>1</v>
      </c>
      <c r="F12" s="17">
        <f>IF(OR($B12="",$D12=""),"",$D12*$E12)</f>
        <v/>
      </c>
      <c r="G12" s="12">
        <f>IF($B12="","",IF(COUNTIF(Cellar!$A$5:$A$31,$B12)=0,"NOT IN THE CELLAR","ok"))</f>
        <v/>
      </c>
    </row>
    <row r="13">
      <c r="A13" s="7" t="n">
        <v>46257</v>
      </c>
      <c r="B13" s="15" t="inlineStr">
        <is>
          <t>White wine</t>
        </is>
      </c>
      <c r="C13" s="15" t="inlineStr">
        <is>
          <t>125ML HOUSE WINE</t>
        </is>
      </c>
      <c r="D13" s="16" t="n">
        <v>8</v>
      </c>
      <c r="E13" s="16" t="n">
        <v>125</v>
      </c>
      <c r="F13" s="17">
        <f>IF(OR($B13="",$D13=""),"",$D13*$E13)</f>
        <v/>
      </c>
      <c r="G13" s="12">
        <f>IF($B13="","",IF(COUNTIF(Cellar!$A$5:$A$31,$B13)=0,"NOT IN THE CELLAR","ok"))</f>
        <v/>
      </c>
    </row>
    <row r="14">
      <c r="A14" s="7" t="n">
        <v>46257</v>
      </c>
      <c r="B14" s="15" t="inlineStr">
        <is>
          <t>White wine</t>
        </is>
      </c>
      <c r="C14" s="15" t="inlineStr">
        <is>
          <t>175ML HOUSE WINE</t>
        </is>
      </c>
      <c r="D14" s="16" t="n">
        <v>7</v>
      </c>
      <c r="E14" s="16" t="n">
        <v>175</v>
      </c>
      <c r="F14" s="17">
        <f>IF(OR($B14="",$D14=""),"",$D14*$E14)</f>
        <v/>
      </c>
      <c r="G14" s="12">
        <f>IF($B14="","",IF(COUNTIF(Cellar!$A$5:$A$31,$B14)=0,"NOT IN THE CELLAR","ok"))</f>
        <v/>
      </c>
    </row>
    <row r="15">
      <c r="A15" s="7" t="n">
        <v>46257</v>
      </c>
      <c r="B15" s="15" t="inlineStr">
        <is>
          <t>White wine</t>
        </is>
      </c>
      <c r="C15" s="15" t="inlineStr">
        <is>
          <t>250ML HOUSE WINE</t>
        </is>
      </c>
      <c r="D15" s="16" t="n">
        <v>11</v>
      </c>
      <c r="E15" s="16" t="n">
        <v>250</v>
      </c>
      <c r="F15" s="17">
        <f>IF(OR($B15="",$D15=""),"",$D15*$E15)</f>
        <v/>
      </c>
      <c r="G15" s="12">
        <f>IF($B15="","",IF(COUNTIF(Cellar!$A$5:$A$31,$B15)=0,"NOT IN THE CELLAR","ok"))</f>
        <v/>
      </c>
    </row>
    <row r="16">
      <c r="A16" s="7" t="n">
        <v>46257</v>
      </c>
      <c r="B16" s="15" t="inlineStr">
        <is>
          <t>Rose</t>
        </is>
      </c>
      <c r="C16" s="15" t="inlineStr">
        <is>
          <t>175ML ROSE</t>
        </is>
      </c>
      <c r="D16" s="16" t="n">
        <v>6</v>
      </c>
      <c r="E16" s="16" t="n">
        <v>175</v>
      </c>
      <c r="F16" s="17">
        <f>IF(OR($B16="",$D16=""),"",$D16*$E16)</f>
        <v/>
      </c>
      <c r="G16" s="12">
        <f>IF($B16="","",IF(COUNTIF(Cellar!$A$5:$A$31,$B16)=0,"NOT IN THE CELLAR","ok"))</f>
        <v/>
      </c>
    </row>
    <row r="17">
      <c r="A17" s="7" t="n">
        <v>46257</v>
      </c>
      <c r="B17" s="15" t="inlineStr">
        <is>
          <t>Rose</t>
        </is>
      </c>
      <c r="C17" s="15" t="inlineStr">
        <is>
          <t>250ML ROSE</t>
        </is>
      </c>
      <c r="D17" s="16" t="n">
        <v>3</v>
      </c>
      <c r="E17" s="16" t="n">
        <v>250</v>
      </c>
      <c r="F17" s="17">
        <f>IF(OR($B17="",$D17=""),"",$D17*$E17)</f>
        <v/>
      </c>
      <c r="G17" s="12">
        <f>IF($B17="","",IF(COUNTIF(Cellar!$A$5:$A$31,$B17)=0,"NOT IN THE CELLAR","ok"))</f>
        <v/>
      </c>
    </row>
    <row r="18">
      <c r="A18" s="7" t="n">
        <v>46257</v>
      </c>
      <c r="B18" s="15" t="inlineStr">
        <is>
          <t>Crisps</t>
        </is>
      </c>
      <c r="C18" s="15" t="inlineStr">
        <is>
          <t>CRISPS</t>
        </is>
      </c>
      <c r="D18" s="16" t="n">
        <v>79</v>
      </c>
      <c r="E18" s="16" t="n">
        <v>1</v>
      </c>
      <c r="F18" s="17">
        <f>IF(OR($B18="",$D18=""),"",$D18*$E18)</f>
        <v/>
      </c>
      <c r="G18" s="12">
        <f>IF($B18="","",IF(COUNTIF(Cellar!$A$5:$A$31,$B18)=0,"NOT IN THE CELLAR","ok"))</f>
        <v/>
      </c>
    </row>
    <row r="19">
      <c r="A19" s="7" t="n">
        <v>46257</v>
      </c>
      <c r="B19" s="15" t="inlineStr">
        <is>
          <t>Salted Nuts</t>
        </is>
      </c>
      <c r="C19" s="15" t="inlineStr">
        <is>
          <t>SALTED NUTS</t>
        </is>
      </c>
      <c r="D19" s="16" t="n">
        <v>3</v>
      </c>
      <c r="E19" s="16" t="n">
        <v>1</v>
      </c>
      <c r="F19" s="17">
        <f>IF(OR($B19="",$D19=""),"",$D19*$E19)</f>
        <v/>
      </c>
      <c r="G19" s="12">
        <f>IF($B19="","",IF(COUNTIF(Cellar!$A$5:$A$31,$B19)=0,"NOT IN THE CELLAR","ok"))</f>
        <v/>
      </c>
    </row>
    <row r="20">
      <c r="A20" s="7" t="n">
        <v>46257</v>
      </c>
      <c r="B20" s="15" t="inlineStr">
        <is>
          <t>Dry Roast</t>
        </is>
      </c>
      <c r="C20" s="15" t="inlineStr">
        <is>
          <t>DRY ROAST</t>
        </is>
      </c>
      <c r="D20" s="16" t="n">
        <v>4</v>
      </c>
      <c r="E20" s="16" t="n">
        <v>1</v>
      </c>
      <c r="F20" s="17">
        <f>IF(OR($B20="",$D20=""),"",$D20*$E20)</f>
        <v/>
      </c>
      <c r="G20" s="12">
        <f>IF($B20="","",IF(COUNTIF(Cellar!$A$5:$A$31,$B20)=0,"NOT IN THE CELLAR","ok"))</f>
        <v/>
      </c>
    </row>
    <row r="21">
      <c r="A21" s="7" t="n">
        <v>46257</v>
      </c>
      <c r="B21" s="15" t="inlineStr">
        <is>
          <t>Ginger Beer</t>
        </is>
      </c>
      <c r="C21" s="15" t="inlineStr">
        <is>
          <t>GINGER BEER</t>
        </is>
      </c>
      <c r="D21" s="16" t="n">
        <v>6</v>
      </c>
      <c r="E21" s="16" t="n">
        <v>1</v>
      </c>
      <c r="F21" s="17">
        <f>IF(OR($B21="",$D21=""),"",$D21*$E21)</f>
        <v/>
      </c>
      <c r="G21" s="12">
        <f>IF($B21="","",IF(COUNTIF(Cellar!$A$5:$A$31,$B21)=0,"NOT IN THE CELLAR","ok"))</f>
        <v/>
      </c>
    </row>
    <row r="22">
      <c r="A22" s="7" t="n">
        <v>46257</v>
      </c>
      <c r="B22" s="15" t="inlineStr">
        <is>
          <t>Elderflower</t>
        </is>
      </c>
      <c r="C22" s="15" t="inlineStr">
        <is>
          <t>ELDERFLOWER</t>
        </is>
      </c>
      <c r="D22" s="16" t="n">
        <v>5</v>
      </c>
      <c r="E22" s="16" t="n">
        <v>1</v>
      </c>
      <c r="F22" s="17">
        <f>IF(OR($B22="",$D22=""),"",$D22*$E22)</f>
        <v/>
      </c>
      <c r="G22" s="12">
        <f>IF($B22="","",IF(COUNTIF(Cellar!$A$5:$A$31,$B22)=0,"NOT IN THE CELLAR","ok"))</f>
        <v/>
      </c>
    </row>
    <row r="23">
      <c r="A23" s="7" t="n">
        <v>46257</v>
      </c>
      <c r="B23" s="15" t="inlineStr">
        <is>
          <t>Tonic</t>
        </is>
      </c>
      <c r="C23" s="15" t="inlineStr">
        <is>
          <t>TONIC</t>
        </is>
      </c>
      <c r="D23" s="16" t="n">
        <v>3</v>
      </c>
      <c r="E23" s="16" t="n">
        <v>1</v>
      </c>
      <c r="F23" s="17">
        <f>IF(OR($B23="",$D23=""),"",$D23*$E23)</f>
        <v/>
      </c>
      <c r="G23" s="12">
        <f>IF($B23="","",IF(COUNTIF(Cellar!$A$5:$A$31,$B23)=0,"NOT IN THE CELLAR","ok"))</f>
        <v/>
      </c>
    </row>
    <row r="24">
      <c r="A24" s="7" t="n">
        <v>46257</v>
      </c>
      <c r="B24" s="15" t="inlineStr">
        <is>
          <t>Orange Juice</t>
        </is>
      </c>
      <c r="C24" s="15" t="inlineStr">
        <is>
          <t>ORANGE JUICE</t>
        </is>
      </c>
      <c r="D24" s="16" t="n">
        <v>1</v>
      </c>
      <c r="E24" s="16" t="n">
        <v>1</v>
      </c>
      <c r="F24" s="17">
        <f>IF(OR($B24="",$D24=""),"",$D24*$E24)</f>
        <v/>
      </c>
      <c r="G24" s="12">
        <f>IF($B24="","",IF(COUNTIF(Cellar!$A$5:$A$31,$B24)=0,"NOT IN THE CELLAR","ok"))</f>
        <v/>
      </c>
    </row>
    <row r="25">
      <c r="A25" s="7" t="n">
        <v>46257</v>
      </c>
      <c r="B25" s="15" t="inlineStr">
        <is>
          <t>Apple Juice</t>
        </is>
      </c>
      <c r="C25" s="15" t="inlineStr">
        <is>
          <t>APPLE JUICE</t>
        </is>
      </c>
      <c r="D25" s="16" t="n">
        <v>7</v>
      </c>
      <c r="E25" s="16" t="n">
        <v>1</v>
      </c>
      <c r="F25" s="17">
        <f>IF(OR($B25="",$D25=""),"",$D25*$E25)</f>
        <v/>
      </c>
      <c r="G25" s="12">
        <f>IF($B25="","",IF(COUNTIF(Cellar!$A$5:$A$31,$B25)=0,"NOT IN THE CELLAR","ok"))</f>
        <v/>
      </c>
    </row>
    <row r="26">
      <c r="A26" s="7" t="n">
        <v>46257</v>
      </c>
      <c r="B26" s="15" t="inlineStr">
        <is>
          <t>alc free</t>
        </is>
      </c>
      <c r="C26" s="15" t="inlineStr">
        <is>
          <t>550ml alc free</t>
        </is>
      </c>
      <c r="D26" s="16" t="n">
        <v>1</v>
      </c>
      <c r="E26" s="16" t="n">
        <v>1</v>
      </c>
      <c r="F26" s="17">
        <f>IF(OR($B26="",$D26=""),"",$D26*$E26)</f>
        <v/>
      </c>
      <c r="G26" s="12">
        <f>IF($B26="","",IF(COUNTIF(Cellar!$A$5:$A$31,$B26)=0,"NOT IN THE CELLAR","ok"))</f>
        <v/>
      </c>
    </row>
    <row r="27">
      <c r="A27" s="7" t="n">
        <v>46257</v>
      </c>
      <c r="B27" s="15" t="inlineStr">
        <is>
          <t>Pure Brew (bottled)</t>
        </is>
      </c>
      <c r="C27" s="15" t="inlineStr">
        <is>
          <t>Bot pure brew</t>
        </is>
      </c>
      <c r="D27" s="16" t="n">
        <v>1</v>
      </c>
      <c r="E27" s="16" t="n">
        <v>1</v>
      </c>
      <c r="F27" s="17">
        <f>IF(OR($B27="",$D27=""),"",$D27*$E27)</f>
        <v/>
      </c>
      <c r="G27" s="12">
        <f>IF($B27="","",IF(COUNTIF(Cellar!$A$5:$A$31,$B27)=0,"NOT IN THE CELLAR","ok"))</f>
        <v/>
      </c>
    </row>
    <row r="28">
      <c r="A28" s="13" t="n"/>
      <c r="B28" s="18" t="n"/>
      <c r="C28" s="18" t="n"/>
      <c r="D28" s="19" t="n"/>
      <c r="E28" s="19" t="n"/>
      <c r="F28" s="17">
        <f>IF(OR($B28="",$D28=""),"",$D28*$E28)</f>
        <v/>
      </c>
      <c r="G28" s="12">
        <f>IF($B28="","",IF(COUNTIF(Cellar!$A$5:$A$31,$B28)=0,"NOT IN THE CELLAR","ok"))</f>
        <v/>
      </c>
    </row>
    <row r="29">
      <c r="A29" s="13" t="n"/>
      <c r="B29" s="18" t="n"/>
      <c r="C29" s="18" t="n"/>
      <c r="D29" s="19" t="n"/>
      <c r="E29" s="19" t="n"/>
      <c r="F29" s="17">
        <f>IF(OR($B29="",$D29=""),"",$D29*$E29)</f>
        <v/>
      </c>
      <c r="G29" s="12">
        <f>IF($B29="","",IF(COUNTIF(Cellar!$A$5:$A$31,$B29)=0,"NOT IN THE CELLAR","ok"))</f>
        <v/>
      </c>
    </row>
    <row r="30">
      <c r="A30" s="13" t="n"/>
      <c r="B30" s="18" t="n"/>
      <c r="C30" s="18" t="n"/>
      <c r="D30" s="19" t="n"/>
      <c r="E30" s="19" t="n"/>
      <c r="F30" s="17">
        <f>IF(OR($B30="",$D30=""),"",$D30*$E30)</f>
        <v/>
      </c>
      <c r="G30" s="12">
        <f>IF($B30="","",IF(COUNTIF(Cellar!$A$5:$A$31,$B30)=0,"NOT IN THE CELLAR","ok"))</f>
        <v/>
      </c>
    </row>
    <row r="31">
      <c r="A31" s="13" t="n"/>
      <c r="B31" s="18" t="n"/>
      <c r="C31" s="18" t="n"/>
      <c r="D31" s="19" t="n"/>
      <c r="E31" s="19" t="n"/>
      <c r="F31" s="17">
        <f>IF(OR($B31="",$D31=""),"",$D31*$E31)</f>
        <v/>
      </c>
      <c r="G31" s="12">
        <f>IF($B31="","",IF(COUNTIF(Cellar!$A$5:$A$31,$B31)=0,"NOT IN THE CELLAR","ok"))</f>
        <v/>
      </c>
    </row>
    <row r="32">
      <c r="A32" s="13" t="n"/>
      <c r="B32" s="18" t="n"/>
      <c r="C32" s="18" t="n"/>
      <c r="D32" s="19" t="n"/>
      <c r="E32" s="19" t="n"/>
      <c r="F32" s="17">
        <f>IF(OR($B32="",$D32=""),"",$D32*$E32)</f>
        <v/>
      </c>
      <c r="G32" s="12">
        <f>IF($B32="","",IF(COUNTIF(Cellar!$A$5:$A$31,$B32)=0,"NOT IN THE CELLAR","ok"))</f>
        <v/>
      </c>
    </row>
    <row r="33">
      <c r="A33" s="13" t="n"/>
      <c r="B33" s="18" t="n"/>
      <c r="C33" s="18" t="n"/>
      <c r="D33" s="19" t="n"/>
      <c r="E33" s="19" t="n"/>
      <c r="F33" s="17">
        <f>IF(OR($B33="",$D33=""),"",$D33*$E33)</f>
        <v/>
      </c>
      <c r="G33" s="12">
        <f>IF($B33="","",IF(COUNTIF(Cellar!$A$5:$A$31,$B33)=0,"NOT IN THE CELLAR","ok"))</f>
        <v/>
      </c>
    </row>
    <row r="34">
      <c r="A34" s="13" t="n"/>
      <c r="B34" s="18" t="n"/>
      <c r="C34" s="18" t="n"/>
      <c r="D34" s="19" t="n"/>
      <c r="E34" s="19" t="n"/>
      <c r="F34" s="17">
        <f>IF(OR($B34="",$D34=""),"",$D34*$E34)</f>
        <v/>
      </c>
      <c r="G34" s="12">
        <f>IF($B34="","",IF(COUNTIF(Cellar!$A$5:$A$31,$B34)=0,"NOT IN THE CELLAR","ok"))</f>
        <v/>
      </c>
    </row>
    <row r="35">
      <c r="A35" s="13" t="n"/>
      <c r="B35" s="18" t="n"/>
      <c r="C35" s="18" t="n"/>
      <c r="D35" s="19" t="n"/>
      <c r="E35" s="19" t="n"/>
      <c r="F35" s="17">
        <f>IF(OR($B35="",$D35=""),"",$D35*$E35)</f>
        <v/>
      </c>
      <c r="G35" s="12">
        <f>IF($B35="","",IF(COUNTIF(Cellar!$A$5:$A$31,$B35)=0,"NOT IN THE CELLAR","ok"))</f>
        <v/>
      </c>
    </row>
    <row r="36">
      <c r="A36" s="13" t="n"/>
      <c r="B36" s="18" t="n"/>
      <c r="C36" s="18" t="n"/>
      <c r="D36" s="19" t="n"/>
      <c r="E36" s="19" t="n"/>
      <c r="F36" s="17">
        <f>IF(OR($B36="",$D36=""),"",$D36*$E36)</f>
        <v/>
      </c>
      <c r="G36" s="12">
        <f>IF($B36="","",IF(COUNTIF(Cellar!$A$5:$A$31,$B36)=0,"NOT IN THE CELLAR","ok"))</f>
        <v/>
      </c>
    </row>
    <row r="37">
      <c r="A37" s="13" t="n"/>
      <c r="B37" s="18" t="n"/>
      <c r="C37" s="18" t="n"/>
      <c r="D37" s="19" t="n"/>
      <c r="E37" s="19" t="n"/>
      <c r="F37" s="17">
        <f>IF(OR($B37="",$D37=""),"",$D37*$E37)</f>
        <v/>
      </c>
      <c r="G37" s="12">
        <f>IF($B37="","",IF(COUNTIF(Cellar!$A$5:$A$31,$B37)=0,"NOT IN THE CELLAR","ok"))</f>
        <v/>
      </c>
    </row>
    <row r="38">
      <c r="A38" s="13" t="n"/>
      <c r="B38" s="18" t="n"/>
      <c r="C38" s="18" t="n"/>
      <c r="D38" s="19" t="n"/>
      <c r="E38" s="19" t="n"/>
      <c r="F38" s="17">
        <f>IF(OR($B38="",$D38=""),"",$D38*$E38)</f>
        <v/>
      </c>
      <c r="G38" s="12">
        <f>IF($B38="","",IF(COUNTIF(Cellar!$A$5:$A$31,$B38)=0,"NOT IN THE CELLAR","ok"))</f>
        <v/>
      </c>
    </row>
    <row r="39">
      <c r="A39" s="13" t="n"/>
      <c r="B39" s="18" t="n"/>
      <c r="C39" s="18" t="n"/>
      <c r="D39" s="19" t="n"/>
      <c r="E39" s="19" t="n"/>
      <c r="F39" s="17">
        <f>IF(OR($B39="",$D39=""),"",$D39*$E39)</f>
        <v/>
      </c>
      <c r="G39" s="12">
        <f>IF($B39="","",IF(COUNTIF(Cellar!$A$5:$A$31,$B39)=0,"NOT IN THE CELLAR","ok"))</f>
        <v/>
      </c>
    </row>
    <row r="40">
      <c r="A40" s="13" t="n"/>
      <c r="B40" s="18" t="n"/>
      <c r="C40" s="18" t="n"/>
      <c r="D40" s="19" t="n"/>
      <c r="E40" s="19" t="n"/>
      <c r="F40" s="17">
        <f>IF(OR($B40="",$D40=""),"",$D40*$E40)</f>
        <v/>
      </c>
      <c r="G40" s="12">
        <f>IF($B40="","",IF(COUNTIF(Cellar!$A$5:$A$31,$B40)=0,"NOT IN THE CELLAR","ok"))</f>
        <v/>
      </c>
    </row>
    <row r="41">
      <c r="A41" s="13" t="n"/>
      <c r="B41" s="18" t="n"/>
      <c r="C41" s="18" t="n"/>
      <c r="D41" s="19" t="n"/>
      <c r="E41" s="19" t="n"/>
      <c r="F41" s="17">
        <f>IF(OR($B41="",$D41=""),"",$D41*$E41)</f>
        <v/>
      </c>
      <c r="G41" s="12">
        <f>IF($B41="","",IF(COUNTIF(Cellar!$A$5:$A$31,$B41)=0,"NOT IN THE CELLAR","ok"))</f>
        <v/>
      </c>
    </row>
    <row r="42">
      <c r="A42" s="13" t="n"/>
      <c r="B42" s="18" t="n"/>
      <c r="C42" s="18" t="n"/>
      <c r="D42" s="19" t="n"/>
      <c r="E42" s="19" t="n"/>
      <c r="F42" s="17">
        <f>IF(OR($B42="",$D42=""),"",$D42*$E42)</f>
        <v/>
      </c>
      <c r="G42" s="12">
        <f>IF($B42="","",IF(COUNTIF(Cellar!$A$5:$A$31,$B42)=0,"NOT IN THE CELLAR","ok"))</f>
        <v/>
      </c>
    </row>
    <row r="43">
      <c r="A43" s="13" t="n"/>
      <c r="B43" s="18" t="n"/>
      <c r="C43" s="18" t="n"/>
      <c r="D43" s="19" t="n"/>
      <c r="E43" s="19" t="n"/>
      <c r="F43" s="17">
        <f>IF(OR($B43="",$D43=""),"",$D43*$E43)</f>
        <v/>
      </c>
      <c r="G43" s="12">
        <f>IF($B43="","",IF(COUNTIF(Cellar!$A$5:$A$31,$B43)=0,"NOT IN THE CELLAR","ok"))</f>
        <v/>
      </c>
    </row>
    <row r="44">
      <c r="A44" s="13" t="n"/>
      <c r="B44" s="18" t="n"/>
      <c r="C44" s="18" t="n"/>
      <c r="D44" s="19" t="n"/>
      <c r="E44" s="19" t="n"/>
      <c r="F44" s="17">
        <f>IF(OR($B44="",$D44=""),"",$D44*$E44)</f>
        <v/>
      </c>
      <c r="G44" s="12">
        <f>IF($B44="","",IF(COUNTIF(Cellar!$A$5:$A$31,$B44)=0,"NOT IN THE CELLAR","ok"))</f>
        <v/>
      </c>
    </row>
    <row r="45">
      <c r="A45" s="13" t="n"/>
      <c r="B45" s="18" t="n"/>
      <c r="C45" s="18" t="n"/>
      <c r="D45" s="19" t="n"/>
      <c r="E45" s="19" t="n"/>
      <c r="F45" s="17">
        <f>IF(OR($B45="",$D45=""),"",$D45*$E45)</f>
        <v/>
      </c>
      <c r="G45" s="12">
        <f>IF($B45="","",IF(COUNTIF(Cellar!$A$5:$A$31,$B45)=0,"NOT IN THE CELLAR","ok"))</f>
        <v/>
      </c>
    </row>
    <row r="46">
      <c r="A46" s="13" t="n"/>
      <c r="B46" s="18" t="n"/>
      <c r="C46" s="18" t="n"/>
      <c r="D46" s="19" t="n"/>
      <c r="E46" s="19" t="n"/>
      <c r="F46" s="17">
        <f>IF(OR($B46="",$D46=""),"",$D46*$E46)</f>
        <v/>
      </c>
      <c r="G46" s="12">
        <f>IF($B46="","",IF(COUNTIF(Cellar!$A$5:$A$31,$B46)=0,"NOT IN THE CELLAR","ok"))</f>
        <v/>
      </c>
    </row>
    <row r="47">
      <c r="A47" s="13" t="n"/>
      <c r="B47" s="18" t="n"/>
      <c r="C47" s="18" t="n"/>
      <c r="D47" s="19" t="n"/>
      <c r="E47" s="19" t="n"/>
      <c r="F47" s="17">
        <f>IF(OR($B47="",$D47=""),"",$D47*$E47)</f>
        <v/>
      </c>
      <c r="G47" s="12">
        <f>IF($B47="","",IF(COUNTIF(Cellar!$A$5:$A$31,$B47)=0,"NOT IN THE CELLAR","ok"))</f>
        <v/>
      </c>
    </row>
    <row r="48">
      <c r="A48" s="13" t="n"/>
      <c r="B48" s="18" t="n"/>
      <c r="C48" s="18" t="n"/>
      <c r="D48" s="19" t="n"/>
      <c r="E48" s="19" t="n"/>
      <c r="F48" s="17">
        <f>IF(OR($B48="",$D48=""),"",$D48*$E48)</f>
        <v/>
      </c>
      <c r="G48" s="12">
        <f>IF($B48="","",IF(COUNTIF(Cellar!$A$5:$A$31,$B48)=0,"NOT IN THE CELLAR","ok"))</f>
        <v/>
      </c>
    </row>
    <row r="49">
      <c r="A49" s="13" t="n"/>
      <c r="B49" s="18" t="n"/>
      <c r="C49" s="18" t="n"/>
      <c r="D49" s="19" t="n"/>
      <c r="E49" s="19" t="n"/>
      <c r="F49" s="17">
        <f>IF(OR($B49="",$D49=""),"",$D49*$E49)</f>
        <v/>
      </c>
      <c r="G49" s="12">
        <f>IF($B49="","",IF(COUNTIF(Cellar!$A$5:$A$31,$B49)=0,"NOT IN THE CELLAR","ok"))</f>
        <v/>
      </c>
    </row>
    <row r="50">
      <c r="A50" s="13" t="n"/>
      <c r="B50" s="18" t="n"/>
      <c r="C50" s="18" t="n"/>
      <c r="D50" s="19" t="n"/>
      <c r="E50" s="19" t="n"/>
      <c r="F50" s="17">
        <f>IF(OR($B50="",$D50=""),"",$D50*$E50)</f>
        <v/>
      </c>
      <c r="G50" s="12">
        <f>IF($B50="","",IF(COUNTIF(Cellar!$A$5:$A$31,$B50)=0,"NOT IN THE CELLAR","ok"))</f>
        <v/>
      </c>
    </row>
    <row r="51">
      <c r="A51" s="13" t="n"/>
      <c r="B51" s="18" t="n"/>
      <c r="C51" s="18" t="n"/>
      <c r="D51" s="19" t="n"/>
      <c r="E51" s="19" t="n"/>
      <c r="F51" s="17">
        <f>IF(OR($B51="",$D51=""),"",$D51*$E51)</f>
        <v/>
      </c>
      <c r="G51" s="12">
        <f>IF($B51="","",IF(COUNTIF(Cellar!$A$5:$A$31,$B51)=0,"NOT IN THE CELLAR","ok"))</f>
        <v/>
      </c>
    </row>
    <row r="52">
      <c r="A52" s="13" t="n"/>
      <c r="B52" s="18" t="n"/>
      <c r="C52" s="18" t="n"/>
      <c r="D52" s="19" t="n"/>
      <c r="E52" s="19" t="n"/>
      <c r="F52" s="17">
        <f>IF(OR($B52="",$D52=""),"",$D52*$E52)</f>
        <v/>
      </c>
      <c r="G52" s="12">
        <f>IF($B52="","",IF(COUNTIF(Cellar!$A$5:$A$31,$B52)=0,"NOT IN THE CELLAR","ok"))</f>
        <v/>
      </c>
    </row>
    <row r="53">
      <c r="A53" s="13" t="n"/>
      <c r="B53" s="18" t="n"/>
      <c r="C53" s="18" t="n"/>
      <c r="D53" s="19" t="n"/>
      <c r="E53" s="19" t="n"/>
      <c r="F53" s="17">
        <f>IF(OR($B53="",$D53=""),"",$D53*$E53)</f>
        <v/>
      </c>
      <c r="G53" s="12">
        <f>IF($B53="","",IF(COUNTIF(Cellar!$A$5:$A$31,$B53)=0,"NOT IN THE CELLAR","ok"))</f>
        <v/>
      </c>
    </row>
    <row r="54">
      <c r="A54" s="13" t="n"/>
      <c r="B54" s="18" t="n"/>
      <c r="C54" s="18" t="n"/>
      <c r="D54" s="19" t="n"/>
      <c r="E54" s="19" t="n"/>
      <c r="F54" s="17">
        <f>IF(OR($B54="",$D54=""),"",$D54*$E54)</f>
        <v/>
      </c>
      <c r="G54" s="12">
        <f>IF($B54="","",IF(COUNTIF(Cellar!$A$5:$A$31,$B54)=0,"NOT IN THE CELLAR","ok"))</f>
        <v/>
      </c>
    </row>
    <row r="55">
      <c r="A55" s="13" t="n"/>
      <c r="B55" s="18" t="n"/>
      <c r="C55" s="18" t="n"/>
      <c r="D55" s="19" t="n"/>
      <c r="E55" s="19" t="n"/>
      <c r="F55" s="17">
        <f>IF(OR($B55="",$D55=""),"",$D55*$E55)</f>
        <v/>
      </c>
      <c r="G55" s="12">
        <f>IF($B55="","",IF(COUNTIF(Cellar!$A$5:$A$31,$B55)=0,"NOT IN THE CELLAR","ok"))</f>
        <v/>
      </c>
    </row>
    <row r="56">
      <c r="A56" s="13" t="n"/>
      <c r="B56" s="18" t="n"/>
      <c r="C56" s="18" t="n"/>
      <c r="D56" s="19" t="n"/>
      <c r="E56" s="19" t="n"/>
      <c r="F56" s="17">
        <f>IF(OR($B56="",$D56=""),"",$D56*$E56)</f>
        <v/>
      </c>
      <c r="G56" s="12">
        <f>IF($B56="","",IF(COUNTIF(Cellar!$A$5:$A$31,$B56)=0,"NOT IN THE CELLAR","ok"))</f>
        <v/>
      </c>
    </row>
    <row r="57">
      <c r="A57" s="13" t="n"/>
      <c r="B57" s="18" t="n"/>
      <c r="C57" s="18" t="n"/>
      <c r="D57" s="19" t="n"/>
      <c r="E57" s="19" t="n"/>
      <c r="F57" s="17">
        <f>IF(OR($B57="",$D57=""),"",$D57*$E57)</f>
        <v/>
      </c>
      <c r="G57" s="12">
        <f>IF($B57="","",IF(COUNTIF(Cellar!$A$5:$A$31,$B57)=0,"NOT IN THE CELLAR","ok"))</f>
        <v/>
      </c>
    </row>
    <row r="58">
      <c r="A58" s="13" t="n"/>
      <c r="B58" s="18" t="n"/>
      <c r="C58" s="18" t="n"/>
      <c r="D58" s="19" t="n"/>
      <c r="E58" s="19" t="n"/>
      <c r="F58" s="17">
        <f>IF(OR($B58="",$D58=""),"",$D58*$E58)</f>
        <v/>
      </c>
      <c r="G58" s="12">
        <f>IF($B58="","",IF(COUNTIF(Cellar!$A$5:$A$31,$B58)=0,"NOT IN THE CELLAR","ok"))</f>
        <v/>
      </c>
    </row>
    <row r="59">
      <c r="A59" s="13" t="n"/>
      <c r="B59" s="18" t="n"/>
      <c r="C59" s="18" t="n"/>
      <c r="D59" s="19" t="n"/>
      <c r="E59" s="19" t="n"/>
      <c r="F59" s="17">
        <f>IF(OR($B59="",$D59=""),"",$D59*$E59)</f>
        <v/>
      </c>
      <c r="G59" s="12">
        <f>IF($B59="","",IF(COUNTIF(Cellar!$A$5:$A$31,$B59)=0,"NOT IN THE CELLAR","ok"))</f>
        <v/>
      </c>
    </row>
    <row r="60">
      <c r="A60" s="13" t="n"/>
      <c r="B60" s="18" t="n"/>
      <c r="C60" s="18" t="n"/>
      <c r="D60" s="19" t="n"/>
      <c r="E60" s="19" t="n"/>
      <c r="F60" s="17">
        <f>IF(OR($B60="",$D60=""),"",$D60*$E60)</f>
        <v/>
      </c>
      <c r="G60" s="12">
        <f>IF($B60="","",IF(COUNTIF(Cellar!$A$5:$A$31,$B60)=0,"NOT IN THE CELLAR","ok"))</f>
        <v/>
      </c>
    </row>
    <row r="61">
      <c r="A61" s="13" t="n"/>
      <c r="B61" s="18" t="n"/>
      <c r="C61" s="18" t="n"/>
      <c r="D61" s="19" t="n"/>
      <c r="E61" s="19" t="n"/>
      <c r="F61" s="17">
        <f>IF(OR($B61="",$D61=""),"",$D61*$E61)</f>
        <v/>
      </c>
      <c r="G61" s="12">
        <f>IF($B61="","",IF(COUNTIF(Cellar!$A$5:$A$31,$B61)=0,"NOT IN THE CELLAR","ok"))</f>
        <v/>
      </c>
    </row>
    <row r="62">
      <c r="A62" s="13" t="n"/>
      <c r="B62" s="18" t="n"/>
      <c r="C62" s="18" t="n"/>
      <c r="D62" s="19" t="n"/>
      <c r="E62" s="19" t="n"/>
      <c r="F62" s="17">
        <f>IF(OR($B62="",$D62=""),"",$D62*$E62)</f>
        <v/>
      </c>
      <c r="G62" s="12">
        <f>IF($B62="","",IF(COUNTIF(Cellar!$A$5:$A$31,$B62)=0,"NOT IN THE CELLAR","ok"))</f>
        <v/>
      </c>
    </row>
    <row r="63">
      <c r="A63" s="13" t="n"/>
      <c r="B63" s="18" t="n"/>
      <c r="C63" s="18" t="n"/>
      <c r="D63" s="19" t="n"/>
      <c r="E63" s="19" t="n"/>
      <c r="F63" s="17">
        <f>IF(OR($B63="",$D63=""),"",$D63*$E63)</f>
        <v/>
      </c>
      <c r="G63" s="12">
        <f>IF($B63="","",IF(COUNTIF(Cellar!$A$5:$A$31,$B63)=0,"NOT IN THE CELLAR","ok"))</f>
        <v/>
      </c>
    </row>
    <row r="64">
      <c r="A64" s="13" t="n"/>
      <c r="B64" s="18" t="n"/>
      <c r="C64" s="18" t="n"/>
      <c r="D64" s="19" t="n"/>
      <c r="E64" s="19" t="n"/>
      <c r="F64" s="17">
        <f>IF(OR($B64="",$D64=""),"",$D64*$E64)</f>
        <v/>
      </c>
      <c r="G64" s="12">
        <f>IF($B64="","",IF(COUNTIF(Cellar!$A$5:$A$31,$B64)=0,"NOT IN THE CELLAR","ok"))</f>
        <v/>
      </c>
    </row>
    <row r="65">
      <c r="A65" s="13" t="n"/>
      <c r="B65" s="18" t="n"/>
      <c r="C65" s="18" t="n"/>
      <c r="D65" s="19" t="n"/>
      <c r="E65" s="19" t="n"/>
      <c r="F65" s="17">
        <f>IF(OR($B65="",$D65=""),"",$D65*$E65)</f>
        <v/>
      </c>
      <c r="G65" s="12">
        <f>IF($B65="","",IF(COUNTIF(Cellar!$A$5:$A$31,$B65)=0,"NOT IN THE CELLAR","ok"))</f>
        <v/>
      </c>
    </row>
    <row r="66">
      <c r="A66" s="13" t="n"/>
      <c r="B66" s="18" t="n"/>
      <c r="C66" s="18" t="n"/>
      <c r="D66" s="19" t="n"/>
      <c r="E66" s="19" t="n"/>
      <c r="F66" s="17">
        <f>IF(OR($B66="",$D66=""),"",$D66*$E66)</f>
        <v/>
      </c>
      <c r="G66" s="12">
        <f>IF($B66="","",IF(COUNTIF(Cellar!$A$5:$A$31,$B66)=0,"NOT IN THE CELLAR","ok"))</f>
        <v/>
      </c>
    </row>
    <row r="67">
      <c r="A67" s="13" t="n"/>
      <c r="B67" s="18" t="n"/>
      <c r="C67" s="18" t="n"/>
      <c r="D67" s="19" t="n"/>
      <c r="E67" s="19" t="n"/>
      <c r="F67" s="17">
        <f>IF(OR($B67="",$D67=""),"",$D67*$E67)</f>
        <v/>
      </c>
      <c r="G67" s="12">
        <f>IF($B67="","",IF(COUNTIF(Cellar!$A$5:$A$31,$B67)=0,"NOT IN THE CELLAR","ok"))</f>
        <v/>
      </c>
    </row>
    <row r="68">
      <c r="A68" s="13" t="n"/>
      <c r="B68" s="18" t="n"/>
      <c r="C68" s="18" t="n"/>
      <c r="D68" s="19" t="n"/>
      <c r="E68" s="19" t="n"/>
      <c r="F68" s="17">
        <f>IF(OR($B68="",$D68=""),"",$D68*$E68)</f>
        <v/>
      </c>
      <c r="G68" s="12">
        <f>IF($B68="","",IF(COUNTIF(Cellar!$A$5:$A$31,$B68)=0,"NOT IN THE CELLAR","ok"))</f>
        <v/>
      </c>
    </row>
    <row r="69">
      <c r="A69" s="13" t="n"/>
      <c r="B69" s="18" t="n"/>
      <c r="C69" s="18" t="n"/>
      <c r="D69" s="19" t="n"/>
      <c r="E69" s="19" t="n"/>
      <c r="F69" s="17">
        <f>IF(OR($B69="",$D69=""),"",$D69*$E69)</f>
        <v/>
      </c>
      <c r="G69" s="12">
        <f>IF($B69="","",IF(COUNTIF(Cellar!$A$5:$A$31,$B69)=0,"NOT IN THE CELLAR","ok"))</f>
        <v/>
      </c>
    </row>
    <row r="70">
      <c r="A70" s="13" t="n"/>
      <c r="B70" s="18" t="n"/>
      <c r="C70" s="18" t="n"/>
      <c r="D70" s="19" t="n"/>
      <c r="E70" s="19" t="n"/>
      <c r="F70" s="17">
        <f>IF(OR($B70="",$D70=""),"",$D70*$E70)</f>
        <v/>
      </c>
      <c r="G70" s="12">
        <f>IF($B70="","",IF(COUNTIF(Cellar!$A$5:$A$31,$B70)=0,"NOT IN THE CELLAR","ok"))</f>
        <v/>
      </c>
    </row>
    <row r="71">
      <c r="A71" s="13" t="n"/>
      <c r="B71" s="18" t="n"/>
      <c r="C71" s="18" t="n"/>
      <c r="D71" s="19" t="n"/>
      <c r="E71" s="19" t="n"/>
      <c r="F71" s="17">
        <f>IF(OR($B71="",$D71=""),"",$D71*$E71)</f>
        <v/>
      </c>
      <c r="G71" s="12">
        <f>IF($B71="","",IF(COUNTIF(Cellar!$A$5:$A$31,$B71)=0,"NOT IN THE CELLAR","ok"))</f>
        <v/>
      </c>
    </row>
    <row r="72">
      <c r="A72" s="13" t="n"/>
      <c r="B72" s="18" t="n"/>
      <c r="C72" s="18" t="n"/>
      <c r="D72" s="19" t="n"/>
      <c r="E72" s="19" t="n"/>
      <c r="F72" s="17">
        <f>IF(OR($B72="",$D72=""),"",$D72*$E72)</f>
        <v/>
      </c>
      <c r="G72" s="12">
        <f>IF($B72="","",IF(COUNTIF(Cellar!$A$5:$A$31,$B72)=0,"NOT IN THE CELLAR","ok"))</f>
        <v/>
      </c>
    </row>
    <row r="73">
      <c r="A73" s="13" t="n"/>
      <c r="B73" s="18" t="n"/>
      <c r="C73" s="18" t="n"/>
      <c r="D73" s="19" t="n"/>
      <c r="E73" s="19" t="n"/>
      <c r="F73" s="17">
        <f>IF(OR($B73="",$D73=""),"",$D73*$E73)</f>
        <v/>
      </c>
      <c r="G73" s="12">
        <f>IF($B73="","",IF(COUNTIF(Cellar!$A$5:$A$31,$B73)=0,"NOT IN THE CELLAR","ok"))</f>
        <v/>
      </c>
    </row>
    <row r="74">
      <c r="A74" s="13" t="n"/>
      <c r="B74" s="18" t="n"/>
      <c r="C74" s="18" t="n"/>
      <c r="D74" s="19" t="n"/>
      <c r="E74" s="19" t="n"/>
      <c r="F74" s="17">
        <f>IF(OR($B74="",$D74=""),"",$D74*$E74)</f>
        <v/>
      </c>
      <c r="G74" s="12">
        <f>IF($B74="","",IF(COUNTIF(Cellar!$A$5:$A$31,$B74)=0,"NOT IN THE CELLAR","ok"))</f>
        <v/>
      </c>
    </row>
    <row r="75">
      <c r="A75" s="13" t="n"/>
      <c r="B75" s="18" t="n"/>
      <c r="C75" s="18" t="n"/>
      <c r="D75" s="19" t="n"/>
      <c r="E75" s="19" t="n"/>
      <c r="F75" s="17">
        <f>IF(OR($B75="",$D75=""),"",$D75*$E75)</f>
        <v/>
      </c>
      <c r="G75" s="12">
        <f>IF($B75="","",IF(COUNTIF(Cellar!$A$5:$A$31,$B75)=0,"NOT IN THE CELLAR","ok"))</f>
        <v/>
      </c>
    </row>
    <row r="76">
      <c r="A76" s="13" t="n"/>
      <c r="B76" s="18" t="n"/>
      <c r="C76" s="18" t="n"/>
      <c r="D76" s="19" t="n"/>
      <c r="E76" s="19" t="n"/>
      <c r="F76" s="17">
        <f>IF(OR($B76="",$D76=""),"",$D76*$E76)</f>
        <v/>
      </c>
      <c r="G76" s="12">
        <f>IF($B76="","",IF(COUNTIF(Cellar!$A$5:$A$31,$B76)=0,"NOT IN THE CELLAR","ok"))</f>
        <v/>
      </c>
    </row>
    <row r="77">
      <c r="A77" s="13" t="n"/>
      <c r="B77" s="18" t="n"/>
      <c r="C77" s="18" t="n"/>
      <c r="D77" s="19" t="n"/>
      <c r="E77" s="19" t="n"/>
      <c r="F77" s="17">
        <f>IF(OR($B77="",$D77=""),"",$D77*$E77)</f>
        <v/>
      </c>
      <c r="G77" s="12">
        <f>IF($B77="","",IF(COUNTIF(Cellar!$A$5:$A$31,$B77)=0,"NOT IN THE CELLAR","ok"))</f>
        <v/>
      </c>
    </row>
    <row r="78">
      <c r="A78" s="13" t="n"/>
      <c r="B78" s="18" t="n"/>
      <c r="C78" s="18" t="n"/>
      <c r="D78" s="19" t="n"/>
      <c r="E78" s="19" t="n"/>
      <c r="F78" s="17">
        <f>IF(OR($B78="",$D78=""),"",$D78*$E78)</f>
        <v/>
      </c>
      <c r="G78" s="12">
        <f>IF($B78="","",IF(COUNTIF(Cellar!$A$5:$A$31,$B78)=0,"NOT IN THE CELLAR","ok"))</f>
        <v/>
      </c>
    </row>
    <row r="79">
      <c r="A79" s="13" t="n"/>
      <c r="B79" s="18" t="n"/>
      <c r="C79" s="18" t="n"/>
      <c r="D79" s="19" t="n"/>
      <c r="E79" s="19" t="n"/>
      <c r="F79" s="17">
        <f>IF(OR($B79="",$D79=""),"",$D79*$E79)</f>
        <v/>
      </c>
      <c r="G79" s="12">
        <f>IF($B79="","",IF(COUNTIF(Cellar!$A$5:$A$31,$B79)=0,"NOT IN THE CELLAR","ok"))</f>
        <v/>
      </c>
    </row>
    <row r="80">
      <c r="A80" s="13" t="n"/>
      <c r="B80" s="18" t="n"/>
      <c r="C80" s="18" t="n"/>
      <c r="D80" s="19" t="n"/>
      <c r="E80" s="19" t="n"/>
      <c r="F80" s="17">
        <f>IF(OR($B80="",$D80=""),"",$D80*$E80)</f>
        <v/>
      </c>
      <c r="G80" s="12">
        <f>IF($B80="","",IF(COUNTIF(Cellar!$A$5:$A$31,$B80)=0,"NOT IN THE CELLAR","ok"))</f>
        <v/>
      </c>
    </row>
    <row r="81">
      <c r="A81" s="13" t="n"/>
      <c r="B81" s="18" t="n"/>
      <c r="C81" s="18" t="n"/>
      <c r="D81" s="19" t="n"/>
      <c r="E81" s="19" t="n"/>
      <c r="F81" s="17">
        <f>IF(OR($B81="",$D81=""),"",$D81*$E81)</f>
        <v/>
      </c>
      <c r="G81" s="12">
        <f>IF($B81="","",IF(COUNTIF(Cellar!$A$5:$A$31,$B81)=0,"NOT IN THE CELLAR","ok"))</f>
        <v/>
      </c>
    </row>
    <row r="82">
      <c r="A82" s="13" t="n"/>
      <c r="B82" s="18" t="n"/>
      <c r="C82" s="18" t="n"/>
      <c r="D82" s="19" t="n"/>
      <c r="E82" s="19" t="n"/>
      <c r="F82" s="17">
        <f>IF(OR($B82="",$D82=""),"",$D82*$E82)</f>
        <v/>
      </c>
      <c r="G82" s="12">
        <f>IF($B82="","",IF(COUNTIF(Cellar!$A$5:$A$31,$B82)=0,"NOT IN THE CELLAR","ok"))</f>
        <v/>
      </c>
    </row>
    <row r="83">
      <c r="A83" s="13" t="n"/>
      <c r="B83" s="18" t="n"/>
      <c r="C83" s="18" t="n"/>
      <c r="D83" s="19" t="n"/>
      <c r="E83" s="19" t="n"/>
      <c r="F83" s="17">
        <f>IF(OR($B83="",$D83=""),"",$D83*$E83)</f>
        <v/>
      </c>
      <c r="G83" s="12">
        <f>IF($B83="","",IF(COUNTIF(Cellar!$A$5:$A$31,$B83)=0,"NOT IN THE CELLAR","ok"))</f>
        <v/>
      </c>
    </row>
    <row r="84">
      <c r="A84" s="13" t="n"/>
      <c r="B84" s="18" t="n"/>
      <c r="C84" s="18" t="n"/>
      <c r="D84" s="19" t="n"/>
      <c r="E84" s="19" t="n"/>
      <c r="F84" s="17">
        <f>IF(OR($B84="",$D84=""),"",$D84*$E84)</f>
        <v/>
      </c>
      <c r="G84" s="12">
        <f>IF($B84="","",IF(COUNTIF(Cellar!$A$5:$A$31,$B84)=0,"NOT IN THE CELLAR","ok"))</f>
        <v/>
      </c>
    </row>
    <row r="85">
      <c r="A85" s="13" t="n"/>
      <c r="B85" s="18" t="n"/>
      <c r="C85" s="18" t="n"/>
      <c r="D85" s="19" t="n"/>
      <c r="E85" s="19" t="n"/>
      <c r="F85" s="17">
        <f>IF(OR($B85="",$D85=""),"",$D85*$E85)</f>
        <v/>
      </c>
      <c r="G85" s="12">
        <f>IF($B85="","",IF(COUNTIF(Cellar!$A$5:$A$31,$B85)=0,"NOT IN THE CELLAR","ok"))</f>
        <v/>
      </c>
    </row>
    <row r="86">
      <c r="A86" s="13" t="n"/>
      <c r="B86" s="18" t="n"/>
      <c r="C86" s="18" t="n"/>
      <c r="D86" s="19" t="n"/>
      <c r="E86" s="19" t="n"/>
      <c r="F86" s="17">
        <f>IF(OR($B86="",$D86=""),"",$D86*$E86)</f>
        <v/>
      </c>
      <c r="G86" s="12">
        <f>IF($B86="","",IF(COUNTIF(Cellar!$A$5:$A$31,$B86)=0,"NOT IN THE CELLAR","ok"))</f>
        <v/>
      </c>
    </row>
    <row r="87">
      <c r="A87" s="13" t="n"/>
      <c r="B87" s="18" t="n"/>
      <c r="C87" s="18" t="n"/>
      <c r="D87" s="19" t="n"/>
      <c r="E87" s="19" t="n"/>
      <c r="F87" s="17">
        <f>IF(OR($B87="",$D87=""),"",$D87*$E87)</f>
        <v/>
      </c>
      <c r="G87" s="12">
        <f>IF($B87="","",IF(COUNTIF(Cellar!$A$5:$A$31,$B87)=0,"NOT IN THE CELLAR","ok"))</f>
        <v/>
      </c>
    </row>
    <row r="88">
      <c r="A88" s="13" t="n"/>
      <c r="B88" s="18" t="n"/>
      <c r="C88" s="18" t="n"/>
      <c r="D88" s="19" t="n"/>
      <c r="E88" s="19" t="n"/>
      <c r="F88" s="17">
        <f>IF(OR($B88="",$D88=""),"",$D88*$E88)</f>
        <v/>
      </c>
      <c r="G88" s="12">
        <f>IF($B88="","",IF(COUNTIF(Cellar!$A$5:$A$31,$B88)=0,"NOT IN THE CELLAR","ok"))</f>
        <v/>
      </c>
    </row>
    <row r="89">
      <c r="A89" s="13" t="n"/>
      <c r="B89" s="18" t="n"/>
      <c r="C89" s="18" t="n"/>
      <c r="D89" s="19" t="n"/>
      <c r="E89" s="19" t="n"/>
      <c r="F89" s="17">
        <f>IF(OR($B89="",$D89=""),"",$D89*$E89)</f>
        <v/>
      </c>
      <c r="G89" s="12">
        <f>IF($B89="","",IF(COUNTIF(Cellar!$A$5:$A$31,$B89)=0,"NOT IN THE CELLAR","ok"))</f>
        <v/>
      </c>
    </row>
    <row r="90">
      <c r="A90" s="13" t="n"/>
      <c r="B90" s="18" t="n"/>
      <c r="C90" s="18" t="n"/>
      <c r="D90" s="19" t="n"/>
      <c r="E90" s="19" t="n"/>
      <c r="F90" s="17">
        <f>IF(OR($B90="",$D90=""),"",$D90*$E90)</f>
        <v/>
      </c>
      <c r="G90" s="12">
        <f>IF($B90="","",IF(COUNTIF(Cellar!$A$5:$A$31,$B90)=0,"NOT IN THE CELLAR","ok"))</f>
        <v/>
      </c>
    </row>
    <row r="91">
      <c r="A91" s="13" t="n"/>
      <c r="B91" s="18" t="n"/>
      <c r="C91" s="18" t="n"/>
      <c r="D91" s="19" t="n"/>
      <c r="E91" s="19" t="n"/>
      <c r="F91" s="17">
        <f>IF(OR($B91="",$D91=""),"",$D91*$E91)</f>
        <v/>
      </c>
      <c r="G91" s="12">
        <f>IF($B91="","",IF(COUNTIF(Cellar!$A$5:$A$31,$B91)=0,"NOT IN THE CELLAR","ok"))</f>
        <v/>
      </c>
    </row>
    <row r="92">
      <c r="A92" s="13" t="n"/>
      <c r="B92" s="18" t="n"/>
      <c r="C92" s="18" t="n"/>
      <c r="D92" s="19" t="n"/>
      <c r="E92" s="19" t="n"/>
      <c r="F92" s="17">
        <f>IF(OR($B92="",$D92=""),"",$D92*$E92)</f>
        <v/>
      </c>
      <c r="G92" s="12">
        <f>IF($B92="","",IF(COUNTIF(Cellar!$A$5:$A$31,$B92)=0,"NOT IN THE CELLAR","ok"))</f>
        <v/>
      </c>
    </row>
    <row r="93">
      <c r="A93" s="13" t="n"/>
      <c r="B93" s="18" t="n"/>
      <c r="C93" s="18" t="n"/>
      <c r="D93" s="19" t="n"/>
      <c r="E93" s="19" t="n"/>
      <c r="F93" s="17">
        <f>IF(OR($B93="",$D93=""),"",$D93*$E93)</f>
        <v/>
      </c>
      <c r="G93" s="12">
        <f>IF($B93="","",IF(COUNTIF(Cellar!$A$5:$A$31,$B93)=0,"NOT IN THE CELLAR","ok"))</f>
        <v/>
      </c>
    </row>
    <row r="94">
      <c r="A94" s="13" t="n"/>
      <c r="B94" s="18" t="n"/>
      <c r="C94" s="18" t="n"/>
      <c r="D94" s="19" t="n"/>
      <c r="E94" s="19" t="n"/>
      <c r="F94" s="17">
        <f>IF(OR($B94="",$D94=""),"",$D94*$E94)</f>
        <v/>
      </c>
      <c r="G94" s="12">
        <f>IF($B94="","",IF(COUNTIF(Cellar!$A$5:$A$31,$B94)=0,"NOT IN THE CELLAR","ok"))</f>
        <v/>
      </c>
    </row>
    <row r="95">
      <c r="A95" s="13" t="n"/>
      <c r="B95" s="18" t="n"/>
      <c r="C95" s="18" t="n"/>
      <c r="D95" s="19" t="n"/>
      <c r="E95" s="19" t="n"/>
      <c r="F95" s="17">
        <f>IF(OR($B95="",$D95=""),"",$D95*$E95)</f>
        <v/>
      </c>
      <c r="G95" s="12">
        <f>IF($B95="","",IF(COUNTIF(Cellar!$A$5:$A$31,$B95)=0,"NOT IN THE CELLAR","ok"))</f>
        <v/>
      </c>
    </row>
    <row r="96">
      <c r="A96" s="13" t="n"/>
      <c r="B96" s="18" t="n"/>
      <c r="C96" s="18" t="n"/>
      <c r="D96" s="19" t="n"/>
      <c r="E96" s="19" t="n"/>
      <c r="F96" s="17">
        <f>IF(OR($B96="",$D96=""),"",$D96*$E96)</f>
        <v/>
      </c>
      <c r="G96" s="12">
        <f>IF($B96="","",IF(COUNTIF(Cellar!$A$5:$A$31,$B96)=0,"NOT IN THE CELLAR","ok"))</f>
        <v/>
      </c>
    </row>
    <row r="97">
      <c r="A97" s="13" t="n"/>
      <c r="B97" s="18" t="n"/>
      <c r="C97" s="18" t="n"/>
      <c r="D97" s="19" t="n"/>
      <c r="E97" s="19" t="n"/>
      <c r="F97" s="17">
        <f>IF(OR($B97="",$D97=""),"",$D97*$E97)</f>
        <v/>
      </c>
      <c r="G97" s="12">
        <f>IF($B97="","",IF(COUNTIF(Cellar!$A$5:$A$31,$B97)=0,"NOT IN THE CELLAR","ok"))</f>
        <v/>
      </c>
    </row>
    <row r="98">
      <c r="A98" s="13" t="n"/>
      <c r="B98" s="18" t="n"/>
      <c r="C98" s="18" t="n"/>
      <c r="D98" s="19" t="n"/>
      <c r="E98" s="19" t="n"/>
      <c r="F98" s="17">
        <f>IF(OR($B98="",$D98=""),"",$D98*$E98)</f>
        <v/>
      </c>
      <c r="G98" s="12">
        <f>IF($B98="","",IF(COUNTIF(Cellar!$A$5:$A$31,$B98)=0,"NOT IN THE CELLAR","ok"))</f>
        <v/>
      </c>
    </row>
    <row r="99">
      <c r="A99" s="13" t="n"/>
      <c r="B99" s="18" t="n"/>
      <c r="C99" s="18" t="n"/>
      <c r="D99" s="19" t="n"/>
      <c r="E99" s="19" t="n"/>
      <c r="F99" s="17">
        <f>IF(OR($B99="",$D99=""),"",$D99*$E99)</f>
        <v/>
      </c>
      <c r="G99" s="12">
        <f>IF($B99="","",IF(COUNTIF(Cellar!$A$5:$A$31,$B99)=0,"NOT IN THE CELLAR","ok"))</f>
        <v/>
      </c>
    </row>
    <row r="100">
      <c r="A100" s="13" t="n"/>
      <c r="B100" s="18" t="n"/>
      <c r="C100" s="18" t="n"/>
      <c r="D100" s="19" t="n"/>
      <c r="E100" s="19" t="n"/>
      <c r="F100" s="17">
        <f>IF(OR($B100="",$D100=""),"",$D100*$E100)</f>
        <v/>
      </c>
      <c r="G100" s="12">
        <f>IF($B100="","",IF(COUNTIF(Cellar!$A$5:$A$31,$B100)=0,"NOT IN THE CELLAR","ok"))</f>
        <v/>
      </c>
    </row>
    <row r="101">
      <c r="A101" s="13" t="n"/>
      <c r="B101" s="18" t="n"/>
      <c r="C101" s="18" t="n"/>
      <c r="D101" s="19" t="n"/>
      <c r="E101" s="19" t="n"/>
      <c r="F101" s="17">
        <f>IF(OR($B101="",$D101=""),"",$D101*$E101)</f>
        <v/>
      </c>
      <c r="G101" s="12">
        <f>IF($B101="","",IF(COUNTIF(Cellar!$A$5:$A$31,$B101)=0,"NOT IN THE CELLAR","ok"))</f>
        <v/>
      </c>
    </row>
    <row r="102">
      <c r="A102" s="13" t="n"/>
      <c r="B102" s="18" t="n"/>
      <c r="C102" s="18" t="n"/>
      <c r="D102" s="19" t="n"/>
      <c r="E102" s="19" t="n"/>
      <c r="F102" s="17">
        <f>IF(OR($B102="",$D102=""),"",$D102*$E102)</f>
        <v/>
      </c>
      <c r="G102" s="12">
        <f>IF($B102="","",IF(COUNTIF(Cellar!$A$5:$A$31,$B102)=0,"NOT IN THE CELLAR","ok"))</f>
        <v/>
      </c>
    </row>
    <row r="103">
      <c r="A103" s="13" t="n"/>
      <c r="B103" s="18" t="n"/>
      <c r="C103" s="18" t="n"/>
      <c r="D103" s="19" t="n"/>
      <c r="E103" s="19" t="n"/>
      <c r="F103" s="17">
        <f>IF(OR($B103="",$D103=""),"",$D103*$E103)</f>
        <v/>
      </c>
      <c r="G103" s="12">
        <f>IF($B103="","",IF(COUNTIF(Cellar!$A$5:$A$31,$B103)=0,"NOT IN THE CELLAR","ok"))</f>
        <v/>
      </c>
    </row>
    <row r="104">
      <c r="A104" s="13" t="n"/>
      <c r="B104" s="18" t="n"/>
      <c r="C104" s="18" t="n"/>
      <c r="D104" s="19" t="n"/>
      <c r="E104" s="19" t="n"/>
      <c r="F104" s="17">
        <f>IF(OR($B104="",$D104=""),"",$D104*$E104)</f>
        <v/>
      </c>
      <c r="G104" s="12">
        <f>IF($B104="","",IF(COUNTIF(Cellar!$A$5:$A$31,$B104)=0,"NOT IN THE CELLAR","ok"))</f>
        <v/>
      </c>
    </row>
    <row r="105">
      <c r="A105" s="13" t="n"/>
      <c r="B105" s="18" t="n"/>
      <c r="C105" s="18" t="n"/>
      <c r="D105" s="19" t="n"/>
      <c r="E105" s="19" t="n"/>
      <c r="F105" s="17">
        <f>IF(OR($B105="",$D105=""),"",$D105*$E105)</f>
        <v/>
      </c>
      <c r="G105" s="12">
        <f>IF($B105="","",IF(COUNTIF(Cellar!$A$5:$A$31,$B105)=0,"NOT IN THE CELLAR","ok"))</f>
        <v/>
      </c>
    </row>
    <row r="106">
      <c r="A106" s="13" t="n"/>
      <c r="B106" s="18" t="n"/>
      <c r="C106" s="18" t="n"/>
      <c r="D106" s="19" t="n"/>
      <c r="E106" s="19" t="n"/>
      <c r="F106" s="17">
        <f>IF(OR($B106="",$D106=""),"",$D106*$E106)</f>
        <v/>
      </c>
      <c r="G106" s="12">
        <f>IF($B106="","",IF(COUNTIF(Cellar!$A$5:$A$31,$B106)=0,"NOT IN THE CELLAR","ok"))</f>
        <v/>
      </c>
    </row>
    <row r="107">
      <c r="A107" s="13" t="n"/>
      <c r="B107" s="18" t="n"/>
      <c r="C107" s="18" t="n"/>
      <c r="D107" s="19" t="n"/>
      <c r="E107" s="19" t="n"/>
      <c r="F107" s="17">
        <f>IF(OR($B107="",$D107=""),"",$D107*$E107)</f>
        <v/>
      </c>
      <c r="G107" s="12">
        <f>IF($B107="","",IF(COUNTIF(Cellar!$A$5:$A$31,$B107)=0,"NOT IN THE CELLAR","ok"))</f>
        <v/>
      </c>
    </row>
    <row r="108">
      <c r="A108" s="13" t="n"/>
      <c r="B108" s="18" t="n"/>
      <c r="C108" s="18" t="n"/>
      <c r="D108" s="19" t="n"/>
      <c r="E108" s="19" t="n"/>
      <c r="F108" s="17">
        <f>IF(OR($B108="",$D108=""),"",$D108*$E108)</f>
        <v/>
      </c>
      <c r="G108" s="12">
        <f>IF($B108="","",IF(COUNTIF(Cellar!$A$5:$A$31,$B108)=0,"NOT IN THE CELLAR","ok"))</f>
        <v/>
      </c>
    </row>
    <row r="109">
      <c r="A109" s="13" t="n"/>
      <c r="B109" s="18" t="n"/>
      <c r="C109" s="18" t="n"/>
      <c r="D109" s="19" t="n"/>
      <c r="E109" s="19" t="n"/>
      <c r="F109" s="17">
        <f>IF(OR($B109="",$D109=""),"",$D109*$E109)</f>
        <v/>
      </c>
      <c r="G109" s="12">
        <f>IF($B109="","",IF(COUNTIF(Cellar!$A$5:$A$31,$B109)=0,"NOT IN THE CELLAR","ok"))</f>
        <v/>
      </c>
    </row>
    <row r="110">
      <c r="A110" s="13" t="n"/>
      <c r="B110" s="18" t="n"/>
      <c r="C110" s="18" t="n"/>
      <c r="D110" s="19" t="n"/>
      <c r="E110" s="19" t="n"/>
      <c r="F110" s="17">
        <f>IF(OR($B110="",$D110=""),"",$D110*$E110)</f>
        <v/>
      </c>
      <c r="G110" s="12">
        <f>IF($B110="","",IF(COUNTIF(Cellar!$A$5:$A$31,$B110)=0,"NOT IN THE CELLAR","ok"))</f>
        <v/>
      </c>
    </row>
    <row r="111">
      <c r="A111" s="13" t="n"/>
      <c r="B111" s="18" t="n"/>
      <c r="C111" s="18" t="n"/>
      <c r="D111" s="19" t="n"/>
      <c r="E111" s="19" t="n"/>
      <c r="F111" s="17">
        <f>IF(OR($B111="",$D111=""),"",$D111*$E111)</f>
        <v/>
      </c>
      <c r="G111" s="12">
        <f>IF($B111="","",IF(COUNTIF(Cellar!$A$5:$A$31,$B111)=0,"NOT IN THE CELLAR","ok"))</f>
        <v/>
      </c>
    </row>
    <row r="112">
      <c r="A112" s="13" t="n"/>
      <c r="B112" s="18" t="n"/>
      <c r="C112" s="18" t="n"/>
      <c r="D112" s="19" t="n"/>
      <c r="E112" s="19" t="n"/>
      <c r="F112" s="17">
        <f>IF(OR($B112="",$D112=""),"",$D112*$E112)</f>
        <v/>
      </c>
      <c r="G112" s="12">
        <f>IF($B112="","",IF(COUNTIF(Cellar!$A$5:$A$31,$B112)=0,"NOT IN THE CELLAR","ok"))</f>
        <v/>
      </c>
    </row>
    <row r="113">
      <c r="A113" s="13" t="n"/>
      <c r="B113" s="18" t="n"/>
      <c r="C113" s="18" t="n"/>
      <c r="D113" s="19" t="n"/>
      <c r="E113" s="19" t="n"/>
      <c r="F113" s="17">
        <f>IF(OR($B113="",$D113=""),"",$D113*$E113)</f>
        <v/>
      </c>
      <c r="G113" s="12">
        <f>IF($B113="","",IF(COUNTIF(Cellar!$A$5:$A$31,$B113)=0,"NOT IN THE CELLAR","ok"))</f>
        <v/>
      </c>
    </row>
    <row r="114">
      <c r="A114" s="13" t="n"/>
      <c r="B114" s="18" t="n"/>
      <c r="C114" s="18" t="n"/>
      <c r="D114" s="19" t="n"/>
      <c r="E114" s="19" t="n"/>
      <c r="F114" s="17">
        <f>IF(OR($B114="",$D114=""),"",$D114*$E114)</f>
        <v/>
      </c>
      <c r="G114" s="12">
        <f>IF($B114="","",IF(COUNTIF(Cellar!$A$5:$A$31,$B114)=0,"NOT IN THE CELLAR","ok"))</f>
        <v/>
      </c>
    </row>
    <row r="115">
      <c r="A115" s="13" t="n"/>
      <c r="B115" s="18" t="n"/>
      <c r="C115" s="18" t="n"/>
      <c r="D115" s="19" t="n"/>
      <c r="E115" s="19" t="n"/>
      <c r="F115" s="17">
        <f>IF(OR($B115="",$D115=""),"",$D115*$E115)</f>
        <v/>
      </c>
      <c r="G115" s="12">
        <f>IF($B115="","",IF(COUNTIF(Cellar!$A$5:$A$31,$B115)=0,"NOT IN THE CELLAR","ok"))</f>
        <v/>
      </c>
    </row>
    <row r="116">
      <c r="A116" s="13" t="n"/>
      <c r="B116" s="18" t="n"/>
      <c r="C116" s="18" t="n"/>
      <c r="D116" s="19" t="n"/>
      <c r="E116" s="19" t="n"/>
      <c r="F116" s="17">
        <f>IF(OR($B116="",$D116=""),"",$D116*$E116)</f>
        <v/>
      </c>
      <c r="G116" s="12">
        <f>IF($B116="","",IF(COUNTIF(Cellar!$A$5:$A$31,$B116)=0,"NOT IN THE CELLAR","ok"))</f>
        <v/>
      </c>
    </row>
    <row r="117">
      <c r="A117" s="13" t="n"/>
      <c r="B117" s="18" t="n"/>
      <c r="C117" s="18" t="n"/>
      <c r="D117" s="19" t="n"/>
      <c r="E117" s="19" t="n"/>
      <c r="F117" s="17">
        <f>IF(OR($B117="",$D117=""),"",$D117*$E117)</f>
        <v/>
      </c>
      <c r="G117" s="12">
        <f>IF($B117="","",IF(COUNTIF(Cellar!$A$5:$A$31,$B117)=0,"NOT IN THE CELLAR","ok"))</f>
        <v/>
      </c>
    </row>
    <row r="118">
      <c r="A118" s="13" t="n"/>
      <c r="B118" s="18" t="n"/>
      <c r="C118" s="18" t="n"/>
      <c r="D118" s="19" t="n"/>
      <c r="E118" s="19" t="n"/>
      <c r="F118" s="17">
        <f>IF(OR($B118="",$D118=""),"",$D118*$E118)</f>
        <v/>
      </c>
      <c r="G118" s="12">
        <f>IF($B118="","",IF(COUNTIF(Cellar!$A$5:$A$31,$B118)=0,"NOT IN THE CELLAR","ok"))</f>
        <v/>
      </c>
    </row>
    <row r="119">
      <c r="A119" s="13" t="n"/>
      <c r="B119" s="18" t="n"/>
      <c r="C119" s="18" t="n"/>
      <c r="D119" s="19" t="n"/>
      <c r="E119" s="19" t="n"/>
      <c r="F119" s="17">
        <f>IF(OR($B119="",$D119=""),"",$D119*$E119)</f>
        <v/>
      </c>
      <c r="G119" s="12">
        <f>IF($B119="","",IF(COUNTIF(Cellar!$A$5:$A$31,$B119)=0,"NOT IN THE CELLAR","ok"))</f>
        <v/>
      </c>
    </row>
    <row r="120">
      <c r="A120" s="13" t="n"/>
      <c r="B120" s="18" t="n"/>
      <c r="C120" s="18" t="n"/>
      <c r="D120" s="19" t="n"/>
      <c r="E120" s="19" t="n"/>
      <c r="F120" s="17">
        <f>IF(OR($B120="",$D120=""),"",$D120*$E120)</f>
        <v/>
      </c>
      <c r="G120" s="12">
        <f>IF($B120="","",IF(COUNTIF(Cellar!$A$5:$A$31,$B120)=0,"NOT IN THE CELLAR","ok"))</f>
        <v/>
      </c>
    </row>
    <row r="121">
      <c r="A121" s="13" t="n"/>
      <c r="B121" s="18" t="n"/>
      <c r="C121" s="18" t="n"/>
      <c r="D121" s="19" t="n"/>
      <c r="E121" s="19" t="n"/>
      <c r="F121" s="17">
        <f>IF(OR($B121="",$D121=""),"",$D121*$E121)</f>
        <v/>
      </c>
      <c r="G121" s="12">
        <f>IF($B121="","",IF(COUNTIF(Cellar!$A$5:$A$31,$B121)=0,"NOT IN THE CELLAR","ok"))</f>
        <v/>
      </c>
    </row>
    <row r="122">
      <c r="A122" s="13" t="n"/>
      <c r="B122" s="18" t="n"/>
      <c r="C122" s="18" t="n"/>
      <c r="D122" s="19" t="n"/>
      <c r="E122" s="19" t="n"/>
      <c r="F122" s="17">
        <f>IF(OR($B122="",$D122=""),"",$D122*$E122)</f>
        <v/>
      </c>
      <c r="G122" s="12">
        <f>IF($B122="","",IF(COUNTIF(Cellar!$A$5:$A$31,$B122)=0,"NOT IN THE CELLAR","ok"))</f>
        <v/>
      </c>
    </row>
    <row r="123">
      <c r="A123" s="13" t="n"/>
      <c r="B123" s="18" t="n"/>
      <c r="C123" s="18" t="n"/>
      <c r="D123" s="19" t="n"/>
      <c r="E123" s="19" t="n"/>
      <c r="F123" s="17">
        <f>IF(OR($B123="",$D123=""),"",$D123*$E123)</f>
        <v/>
      </c>
      <c r="G123" s="12">
        <f>IF($B123="","",IF(COUNTIF(Cellar!$A$5:$A$31,$B123)=0,"NOT IN THE CELLAR","ok"))</f>
        <v/>
      </c>
    </row>
    <row r="124">
      <c r="A124" s="13" t="n"/>
      <c r="B124" s="18" t="n"/>
      <c r="C124" s="18" t="n"/>
      <c r="D124" s="19" t="n"/>
      <c r="E124" s="19" t="n"/>
      <c r="F124" s="17">
        <f>IF(OR($B124="",$D124=""),"",$D124*$E124)</f>
        <v/>
      </c>
      <c r="G124" s="12">
        <f>IF($B124="","",IF(COUNTIF(Cellar!$A$5:$A$31,$B124)=0,"NOT IN THE CELLAR","ok"))</f>
        <v/>
      </c>
    </row>
    <row r="125">
      <c r="A125" s="13" t="n"/>
      <c r="B125" s="18" t="n"/>
      <c r="C125" s="18" t="n"/>
      <c r="D125" s="19" t="n"/>
      <c r="E125" s="19" t="n"/>
      <c r="F125" s="17">
        <f>IF(OR($B125="",$D125=""),"",$D125*$E125)</f>
        <v/>
      </c>
      <c r="G125" s="12">
        <f>IF($B125="","",IF(COUNTIF(Cellar!$A$5:$A$31,$B125)=0,"NOT IN THE CELLAR","ok"))</f>
        <v/>
      </c>
    </row>
    <row r="126">
      <c r="A126" s="13" t="n"/>
      <c r="B126" s="18" t="n"/>
      <c r="C126" s="18" t="n"/>
      <c r="D126" s="19" t="n"/>
      <c r="E126" s="19" t="n"/>
      <c r="F126" s="17">
        <f>IF(OR($B126="",$D126=""),"",$D126*$E126)</f>
        <v/>
      </c>
      <c r="G126" s="12">
        <f>IF($B126="","",IF(COUNTIF(Cellar!$A$5:$A$31,$B126)=0,"NOT IN THE CELLAR","ok"))</f>
        <v/>
      </c>
    </row>
    <row r="127">
      <c r="A127" s="13" t="n"/>
      <c r="B127" s="18" t="n"/>
      <c r="C127" s="18" t="n"/>
      <c r="D127" s="19" t="n"/>
      <c r="E127" s="19" t="n"/>
      <c r="F127" s="17">
        <f>IF(OR($B127="",$D127=""),"",$D127*$E127)</f>
        <v/>
      </c>
      <c r="G127" s="12">
        <f>IF($B127="","",IF(COUNTIF(Cellar!$A$5:$A$31,$B127)=0,"NOT IN THE CELLAR","ok"))</f>
        <v/>
      </c>
    </row>
    <row r="128">
      <c r="A128" s="13" t="n"/>
      <c r="B128" s="18" t="n"/>
      <c r="C128" s="18" t="n"/>
      <c r="D128" s="19" t="n"/>
      <c r="E128" s="19" t="n"/>
      <c r="F128" s="17">
        <f>IF(OR($B128="",$D128=""),"",$D128*$E128)</f>
        <v/>
      </c>
      <c r="G128" s="12">
        <f>IF($B128="","",IF(COUNTIF(Cellar!$A$5:$A$31,$B128)=0,"NOT IN THE CELLAR","ok"))</f>
        <v/>
      </c>
    </row>
    <row r="129">
      <c r="A129" s="13" t="n"/>
      <c r="B129" s="18" t="n"/>
      <c r="C129" s="18" t="n"/>
      <c r="D129" s="19" t="n"/>
      <c r="E129" s="19" t="n"/>
      <c r="F129" s="17">
        <f>IF(OR($B129="",$D129=""),"",$D129*$E129)</f>
        <v/>
      </c>
      <c r="G129" s="12">
        <f>IF($B129="","",IF(COUNTIF(Cellar!$A$5:$A$31,$B129)=0,"NOT IN THE CELLAR","ok"))</f>
        <v/>
      </c>
    </row>
    <row r="130">
      <c r="A130" s="13" t="n"/>
      <c r="B130" s="18" t="n"/>
      <c r="C130" s="18" t="n"/>
      <c r="D130" s="19" t="n"/>
      <c r="E130" s="19" t="n"/>
      <c r="F130" s="17">
        <f>IF(OR($B130="",$D130=""),"",$D130*$E130)</f>
        <v/>
      </c>
      <c r="G130" s="12">
        <f>IF($B130="","",IF(COUNTIF(Cellar!$A$5:$A$31,$B130)=0,"NOT IN THE CELLAR","ok"))</f>
        <v/>
      </c>
    </row>
    <row r="131">
      <c r="A131" s="13" t="n"/>
      <c r="B131" s="18" t="n"/>
      <c r="C131" s="18" t="n"/>
      <c r="D131" s="19" t="n"/>
      <c r="E131" s="19" t="n"/>
      <c r="F131" s="17">
        <f>IF(OR($B131="",$D131=""),"",$D131*$E131)</f>
        <v/>
      </c>
      <c r="G131" s="12">
        <f>IF($B131="","",IF(COUNTIF(Cellar!$A$5:$A$31,$B131)=0,"NOT IN THE CELLAR","ok"))</f>
        <v/>
      </c>
    </row>
    <row r="132">
      <c r="A132" s="13" t="n"/>
      <c r="B132" s="18" t="n"/>
      <c r="C132" s="18" t="n"/>
      <c r="D132" s="19" t="n"/>
      <c r="E132" s="19" t="n"/>
      <c r="F132" s="17">
        <f>IF(OR($B132="",$D132=""),"",$D132*$E132)</f>
        <v/>
      </c>
      <c r="G132" s="12">
        <f>IF($B132="","",IF(COUNTIF(Cellar!$A$5:$A$31,$B132)=0,"NOT IN THE CELLAR","ok"))</f>
        <v/>
      </c>
    </row>
    <row r="133">
      <c r="A133" s="13" t="n"/>
      <c r="B133" s="18" t="n"/>
      <c r="C133" s="18" t="n"/>
      <c r="D133" s="19" t="n"/>
      <c r="E133" s="19" t="n"/>
      <c r="F133" s="17">
        <f>IF(OR($B133="",$D133=""),"",$D133*$E133)</f>
        <v/>
      </c>
      <c r="G133" s="12">
        <f>IF($B133="","",IF(COUNTIF(Cellar!$A$5:$A$31,$B133)=0,"NOT IN THE CELLAR","ok"))</f>
        <v/>
      </c>
    </row>
    <row r="134">
      <c r="A134" s="13" t="n"/>
      <c r="B134" s="18" t="n"/>
      <c r="C134" s="18" t="n"/>
      <c r="D134" s="19" t="n"/>
      <c r="E134" s="19" t="n"/>
      <c r="F134" s="17">
        <f>IF(OR($B134="",$D134=""),"",$D134*$E134)</f>
        <v/>
      </c>
      <c r="G134" s="12">
        <f>IF($B134="","",IF(COUNTIF(Cellar!$A$5:$A$31,$B134)=0,"NOT IN THE CELLAR","ok"))</f>
        <v/>
      </c>
    </row>
    <row r="135">
      <c r="A135" s="13" t="n"/>
      <c r="B135" s="18" t="n"/>
      <c r="C135" s="18" t="n"/>
      <c r="D135" s="19" t="n"/>
      <c r="E135" s="19" t="n"/>
      <c r="F135" s="17">
        <f>IF(OR($B135="",$D135=""),"",$D135*$E135)</f>
        <v/>
      </c>
      <c r="G135" s="12">
        <f>IF($B135="","",IF(COUNTIF(Cellar!$A$5:$A$31,$B135)=0,"NOT IN THE CELLAR","ok"))</f>
        <v/>
      </c>
    </row>
    <row r="136">
      <c r="A136" s="13" t="n"/>
      <c r="B136" s="18" t="n"/>
      <c r="C136" s="18" t="n"/>
      <c r="D136" s="19" t="n"/>
      <c r="E136" s="19" t="n"/>
      <c r="F136" s="17">
        <f>IF(OR($B136="",$D136=""),"",$D136*$E136)</f>
        <v/>
      </c>
      <c r="G136" s="12">
        <f>IF($B136="","",IF(COUNTIF(Cellar!$A$5:$A$31,$B136)=0,"NOT IN THE CELLAR","ok"))</f>
        <v/>
      </c>
    </row>
    <row r="137">
      <c r="A137" s="13" t="n"/>
      <c r="B137" s="18" t="n"/>
      <c r="C137" s="18" t="n"/>
      <c r="D137" s="19" t="n"/>
      <c r="E137" s="19" t="n"/>
      <c r="F137" s="17">
        <f>IF(OR($B137="",$D137=""),"",$D137*$E137)</f>
        <v/>
      </c>
      <c r="G137" s="12">
        <f>IF($B137="","",IF(COUNTIF(Cellar!$A$5:$A$31,$B137)=0,"NOT IN THE CELLAR","ok"))</f>
        <v/>
      </c>
    </row>
    <row r="138">
      <c r="A138" s="13" t="n"/>
      <c r="B138" s="18" t="n"/>
      <c r="C138" s="18" t="n"/>
      <c r="D138" s="19" t="n"/>
      <c r="E138" s="19" t="n"/>
      <c r="F138" s="17">
        <f>IF(OR($B138="",$D138=""),"",$D138*$E138)</f>
        <v/>
      </c>
      <c r="G138" s="12">
        <f>IF($B138="","",IF(COUNTIF(Cellar!$A$5:$A$31,$B138)=0,"NOT IN THE CELLAR","ok"))</f>
        <v/>
      </c>
    </row>
    <row r="139">
      <c r="A139" s="13" t="n"/>
      <c r="B139" s="18" t="n"/>
      <c r="C139" s="18" t="n"/>
      <c r="D139" s="19" t="n"/>
      <c r="E139" s="19" t="n"/>
      <c r="F139" s="17">
        <f>IF(OR($B139="",$D139=""),"",$D139*$E139)</f>
        <v/>
      </c>
      <c r="G139" s="12">
        <f>IF($B139="","",IF(COUNTIF(Cellar!$A$5:$A$31,$B139)=0,"NOT IN THE CELLAR","ok"))</f>
        <v/>
      </c>
    </row>
    <row r="140">
      <c r="A140" s="13" t="n"/>
      <c r="B140" s="18" t="n"/>
      <c r="C140" s="18" t="n"/>
      <c r="D140" s="19" t="n"/>
      <c r="E140" s="19" t="n"/>
      <c r="F140" s="17">
        <f>IF(OR($B140="",$D140=""),"",$D140*$E140)</f>
        <v/>
      </c>
      <c r="G140" s="12">
        <f>IF($B140="","",IF(COUNTIF(Cellar!$A$5:$A$31,$B140)=0,"NOT IN THE CELLAR","ok"))</f>
        <v/>
      </c>
    </row>
    <row r="141">
      <c r="A141" s="13" t="n"/>
      <c r="B141" s="18" t="n"/>
      <c r="C141" s="18" t="n"/>
      <c r="D141" s="19" t="n"/>
      <c r="E141" s="19" t="n"/>
      <c r="F141" s="17">
        <f>IF(OR($B141="",$D141=""),"",$D141*$E141)</f>
        <v/>
      </c>
      <c r="G141" s="12">
        <f>IF($B141="","",IF(COUNTIF(Cellar!$A$5:$A$31,$B141)=0,"NOT IN THE CELLAR","ok"))</f>
        <v/>
      </c>
    </row>
    <row r="142">
      <c r="A142" s="13" t="n"/>
      <c r="B142" s="18" t="n"/>
      <c r="C142" s="18" t="n"/>
      <c r="D142" s="19" t="n"/>
      <c r="E142" s="19" t="n"/>
      <c r="F142" s="17">
        <f>IF(OR($B142="",$D142=""),"",$D142*$E142)</f>
        <v/>
      </c>
      <c r="G142" s="12">
        <f>IF($B142="","",IF(COUNTIF(Cellar!$A$5:$A$31,$B142)=0,"NOT IN THE CELLAR","ok"))</f>
        <v/>
      </c>
    </row>
    <row r="143">
      <c r="A143" s="13" t="n"/>
      <c r="B143" s="18" t="n"/>
      <c r="C143" s="18" t="n"/>
      <c r="D143" s="19" t="n"/>
      <c r="E143" s="19" t="n"/>
      <c r="F143" s="17">
        <f>IF(OR($B143="",$D143=""),"",$D143*$E143)</f>
        <v/>
      </c>
      <c r="G143" s="12">
        <f>IF($B143="","",IF(COUNTIF(Cellar!$A$5:$A$31,$B143)=0,"NOT IN THE CELLAR","ok"))</f>
        <v/>
      </c>
    </row>
    <row r="144">
      <c r="A144" s="13" t="n"/>
      <c r="B144" s="18" t="n"/>
      <c r="C144" s="18" t="n"/>
      <c r="D144" s="19" t="n"/>
      <c r="E144" s="19" t="n"/>
      <c r="F144" s="17">
        <f>IF(OR($B144="",$D144=""),"",$D144*$E144)</f>
        <v/>
      </c>
      <c r="G144" s="12">
        <f>IF($B144="","",IF(COUNTIF(Cellar!$A$5:$A$31,$B144)=0,"NOT IN THE CELLAR","ok"))</f>
        <v/>
      </c>
    </row>
    <row r="145">
      <c r="A145" s="13" t="n"/>
      <c r="B145" s="18" t="n"/>
      <c r="C145" s="18" t="n"/>
      <c r="D145" s="19" t="n"/>
      <c r="E145" s="19" t="n"/>
      <c r="F145" s="17">
        <f>IF(OR($B145="",$D145=""),"",$D145*$E145)</f>
        <v/>
      </c>
      <c r="G145" s="12">
        <f>IF($B145="","",IF(COUNTIF(Cellar!$A$5:$A$31,$B145)=0,"NOT IN THE CELLAR","ok"))</f>
        <v/>
      </c>
    </row>
    <row r="146">
      <c r="A146" s="13" t="n"/>
      <c r="B146" s="18" t="n"/>
      <c r="C146" s="18" t="n"/>
      <c r="D146" s="19" t="n"/>
      <c r="E146" s="19" t="n"/>
      <c r="F146" s="17">
        <f>IF(OR($B146="",$D146=""),"",$D146*$E146)</f>
        <v/>
      </c>
      <c r="G146" s="12">
        <f>IF($B146="","",IF(COUNTIF(Cellar!$A$5:$A$31,$B146)=0,"NOT IN THE CELLAR","ok"))</f>
        <v/>
      </c>
    </row>
    <row r="147">
      <c r="A147" s="13" t="n"/>
      <c r="B147" s="18" t="n"/>
      <c r="C147" s="18" t="n"/>
      <c r="D147" s="19" t="n"/>
      <c r="E147" s="19" t="n"/>
      <c r="F147" s="17">
        <f>IF(OR($B147="",$D147=""),"",$D147*$E147)</f>
        <v/>
      </c>
      <c r="G147" s="12">
        <f>IF($B147="","",IF(COUNTIF(Cellar!$A$5:$A$31,$B147)=0,"NOT IN THE CELLAR","ok"))</f>
        <v/>
      </c>
    </row>
    <row r="148">
      <c r="A148" s="13" t="n"/>
      <c r="B148" s="18" t="n"/>
      <c r="C148" s="18" t="n"/>
      <c r="D148" s="19" t="n"/>
      <c r="E148" s="19" t="n"/>
      <c r="F148" s="17">
        <f>IF(OR($B148="",$D148=""),"",$D148*$E148)</f>
        <v/>
      </c>
      <c r="G148" s="12">
        <f>IF($B148="","",IF(COUNTIF(Cellar!$A$5:$A$31,$B148)=0,"NOT IN THE CELLAR","ok"))</f>
        <v/>
      </c>
    </row>
    <row r="149">
      <c r="A149" s="13" t="n"/>
      <c r="B149" s="18" t="n"/>
      <c r="C149" s="18" t="n"/>
      <c r="D149" s="19" t="n"/>
      <c r="E149" s="19" t="n"/>
      <c r="F149" s="17">
        <f>IF(OR($B149="",$D149=""),"",$D149*$E149)</f>
        <v/>
      </c>
      <c r="G149" s="12">
        <f>IF($B149="","",IF(COUNTIF(Cellar!$A$5:$A$31,$B149)=0,"NOT IN THE CELLAR","ok"))</f>
        <v/>
      </c>
    </row>
    <row r="150">
      <c r="A150" s="13" t="n"/>
      <c r="B150" s="18" t="n"/>
      <c r="C150" s="18" t="n"/>
      <c r="D150" s="19" t="n"/>
      <c r="E150" s="19" t="n"/>
      <c r="F150" s="17">
        <f>IF(OR($B150="",$D150=""),"",$D150*$E150)</f>
        <v/>
      </c>
      <c r="G150" s="12">
        <f>IF($B150="","",IF(COUNTIF(Cellar!$A$5:$A$31,$B150)=0,"NOT IN THE CELLAR","ok"))</f>
        <v/>
      </c>
    </row>
    <row r="151">
      <c r="A151" s="13" t="n"/>
      <c r="B151" s="18" t="n"/>
      <c r="C151" s="18" t="n"/>
      <c r="D151" s="19" t="n"/>
      <c r="E151" s="19" t="n"/>
      <c r="F151" s="17">
        <f>IF(OR($B151="",$D151=""),"",$D151*$E151)</f>
        <v/>
      </c>
      <c r="G151" s="12">
        <f>IF($B151="","",IF(COUNTIF(Cellar!$A$5:$A$31,$B151)=0,"NOT IN THE CELLAR","ok"))</f>
        <v/>
      </c>
    </row>
    <row r="152">
      <c r="A152" s="13" t="n"/>
      <c r="B152" s="18" t="n"/>
      <c r="C152" s="18" t="n"/>
      <c r="D152" s="19" t="n"/>
      <c r="E152" s="19" t="n"/>
      <c r="F152" s="17">
        <f>IF(OR($B152="",$D152=""),"",$D152*$E152)</f>
        <v/>
      </c>
      <c r="G152" s="12">
        <f>IF($B152="","",IF(COUNTIF(Cellar!$A$5:$A$31,$B152)=0,"NOT IN THE CELLAR","ok"))</f>
        <v/>
      </c>
    </row>
    <row r="153">
      <c r="A153" s="13" t="n"/>
      <c r="B153" s="18" t="n"/>
      <c r="C153" s="18" t="n"/>
      <c r="D153" s="19" t="n"/>
      <c r="E153" s="19" t="n"/>
      <c r="F153" s="17">
        <f>IF(OR($B153="",$D153=""),"",$D153*$E153)</f>
        <v/>
      </c>
      <c r="G153" s="12">
        <f>IF($B153="","",IF(COUNTIF(Cellar!$A$5:$A$31,$B153)=0,"NOT IN THE CELLAR","ok"))</f>
        <v/>
      </c>
    </row>
    <row r="154">
      <c r="A154" s="13" t="n"/>
      <c r="B154" s="18" t="n"/>
      <c r="C154" s="18" t="n"/>
      <c r="D154" s="19" t="n"/>
      <c r="E154" s="19" t="n"/>
      <c r="F154" s="17">
        <f>IF(OR($B154="",$D154=""),"",$D154*$E154)</f>
        <v/>
      </c>
      <c r="G154" s="12">
        <f>IF($B154="","",IF(COUNTIF(Cellar!$A$5:$A$31,$B154)=0,"NOT IN THE CELLAR","ok"))</f>
        <v/>
      </c>
    </row>
    <row r="155">
      <c r="A155" s="13" t="n"/>
      <c r="B155" s="18" t="n"/>
      <c r="C155" s="18" t="n"/>
      <c r="D155" s="19" t="n"/>
      <c r="E155" s="19" t="n"/>
      <c r="F155" s="17">
        <f>IF(OR($B155="",$D155=""),"",$D155*$E155)</f>
        <v/>
      </c>
      <c r="G155" s="12">
        <f>IF($B155="","",IF(COUNTIF(Cellar!$A$5:$A$31,$B155)=0,"NOT IN THE CELLAR","ok"))</f>
        <v/>
      </c>
    </row>
    <row r="156">
      <c r="A156" s="13" t="n"/>
      <c r="B156" s="18" t="n"/>
      <c r="C156" s="18" t="n"/>
      <c r="D156" s="19" t="n"/>
      <c r="E156" s="19" t="n"/>
      <c r="F156" s="17">
        <f>IF(OR($B156="",$D156=""),"",$D156*$E156)</f>
        <v/>
      </c>
      <c r="G156" s="12">
        <f>IF($B156="","",IF(COUNTIF(Cellar!$A$5:$A$31,$B156)=0,"NOT IN THE CELLAR","ok"))</f>
        <v/>
      </c>
    </row>
    <row r="157">
      <c r="A157" s="13" t="n"/>
      <c r="B157" s="18" t="n"/>
      <c r="C157" s="18" t="n"/>
      <c r="D157" s="19" t="n"/>
      <c r="E157" s="19" t="n"/>
      <c r="F157" s="17">
        <f>IF(OR($B157="",$D157=""),"",$D157*$E157)</f>
        <v/>
      </c>
      <c r="G157" s="12">
        <f>IF($B157="","",IF(COUNTIF(Cellar!$A$5:$A$31,$B157)=0,"NOT IN THE CELLAR","ok"))</f>
        <v/>
      </c>
    </row>
    <row r="158">
      <c r="A158" s="13" t="n"/>
      <c r="B158" s="18" t="n"/>
      <c r="C158" s="18" t="n"/>
      <c r="D158" s="19" t="n"/>
      <c r="E158" s="19" t="n"/>
      <c r="F158" s="17">
        <f>IF(OR($B158="",$D158=""),"",$D158*$E158)</f>
        <v/>
      </c>
      <c r="G158" s="12">
        <f>IF($B158="","",IF(COUNTIF(Cellar!$A$5:$A$31,$B158)=0,"NOT IN THE CELLAR","ok"))</f>
        <v/>
      </c>
    </row>
    <row r="159">
      <c r="A159" s="13" t="n"/>
      <c r="B159" s="18" t="n"/>
      <c r="C159" s="18" t="n"/>
      <c r="D159" s="19" t="n"/>
      <c r="E159" s="19" t="n"/>
      <c r="F159" s="17">
        <f>IF(OR($B159="",$D159=""),"",$D159*$E159)</f>
        <v/>
      </c>
      <c r="G159" s="12">
        <f>IF($B159="","",IF(COUNTIF(Cellar!$A$5:$A$31,$B159)=0,"NOT IN THE CELLAR","ok"))</f>
        <v/>
      </c>
    </row>
    <row r="160">
      <c r="A160" s="13" t="n"/>
      <c r="B160" s="18" t="n"/>
      <c r="C160" s="18" t="n"/>
      <c r="D160" s="19" t="n"/>
      <c r="E160" s="19" t="n"/>
      <c r="F160" s="17">
        <f>IF(OR($B160="",$D160=""),"",$D160*$E160)</f>
        <v/>
      </c>
      <c r="G160" s="12">
        <f>IF($B160="","",IF(COUNTIF(Cellar!$A$5:$A$31,$B160)=0,"NOT IN THE CELLAR","ok"))</f>
        <v/>
      </c>
    </row>
    <row r="161">
      <c r="A161" s="13" t="n"/>
      <c r="B161" s="18" t="n"/>
      <c r="C161" s="18" t="n"/>
      <c r="D161" s="19" t="n"/>
      <c r="E161" s="19" t="n"/>
      <c r="F161" s="17">
        <f>IF(OR($B161="",$D161=""),"",$D161*$E161)</f>
        <v/>
      </c>
      <c r="G161" s="12">
        <f>IF($B161="","",IF(COUNTIF(Cellar!$A$5:$A$31,$B161)=0,"NOT IN THE CELLAR","ok"))</f>
        <v/>
      </c>
    </row>
    <row r="162">
      <c r="A162" s="13" t="n"/>
      <c r="B162" s="18" t="n"/>
      <c r="C162" s="18" t="n"/>
      <c r="D162" s="19" t="n"/>
      <c r="E162" s="19" t="n"/>
      <c r="F162" s="17">
        <f>IF(OR($B162="",$D162=""),"",$D162*$E162)</f>
        <v/>
      </c>
      <c r="G162" s="12">
        <f>IF($B162="","",IF(COUNTIF(Cellar!$A$5:$A$31,$B162)=0,"NOT IN THE CELLAR","ok"))</f>
        <v/>
      </c>
    </row>
    <row r="163">
      <c r="A163" s="13" t="n"/>
      <c r="B163" s="18" t="n"/>
      <c r="C163" s="18" t="n"/>
      <c r="D163" s="19" t="n"/>
      <c r="E163" s="19" t="n"/>
      <c r="F163" s="17">
        <f>IF(OR($B163="",$D163=""),"",$D163*$E163)</f>
        <v/>
      </c>
      <c r="G163" s="12">
        <f>IF($B163="","",IF(COUNTIF(Cellar!$A$5:$A$31,$B163)=0,"NOT IN THE CELLAR","ok"))</f>
        <v/>
      </c>
    </row>
    <row r="164">
      <c r="A164" s="13" t="n"/>
      <c r="B164" s="18" t="n"/>
      <c r="C164" s="18" t="n"/>
      <c r="D164" s="19" t="n"/>
      <c r="E164" s="19" t="n"/>
      <c r="F164" s="17">
        <f>IF(OR($B164="",$D164=""),"",$D164*$E164)</f>
        <v/>
      </c>
      <c r="G164" s="12">
        <f>IF($B164="","",IF(COUNTIF(Cellar!$A$5:$A$31,$B164)=0,"NOT IN THE CELLAR","ok"))</f>
        <v/>
      </c>
    </row>
    <row r="165">
      <c r="A165" s="13" t="n"/>
      <c r="B165" s="18" t="n"/>
      <c r="C165" s="18" t="n"/>
      <c r="D165" s="19" t="n"/>
      <c r="E165" s="19" t="n"/>
      <c r="F165" s="17">
        <f>IF(OR($B165="",$D165=""),"",$D165*$E165)</f>
        <v/>
      </c>
      <c r="G165" s="12">
        <f>IF($B165="","",IF(COUNTIF(Cellar!$A$5:$A$31,$B165)=0,"NOT IN THE CELLAR","ok"))</f>
        <v/>
      </c>
    </row>
    <row r="166">
      <c r="A166" s="13" t="n"/>
      <c r="B166" s="18" t="n"/>
      <c r="C166" s="18" t="n"/>
      <c r="D166" s="19" t="n"/>
      <c r="E166" s="19" t="n"/>
      <c r="F166" s="17">
        <f>IF(OR($B166="",$D166=""),"",$D166*$E166)</f>
        <v/>
      </c>
      <c r="G166" s="12">
        <f>IF($B166="","",IF(COUNTIF(Cellar!$A$5:$A$31,$B166)=0,"NOT IN THE CELLAR","ok"))</f>
        <v/>
      </c>
    </row>
    <row r="167">
      <c r="A167" s="13" t="n"/>
      <c r="B167" s="18" t="n"/>
      <c r="C167" s="18" t="n"/>
      <c r="D167" s="19" t="n"/>
      <c r="E167" s="19" t="n"/>
      <c r="F167" s="17">
        <f>IF(OR($B167="",$D167=""),"",$D167*$E167)</f>
        <v/>
      </c>
      <c r="G167" s="12">
        <f>IF($B167="","",IF(COUNTIF(Cellar!$A$5:$A$31,$B167)=0,"NOT IN THE CELLAR","ok"))</f>
        <v/>
      </c>
    </row>
    <row r="168">
      <c r="A168" s="13" t="n"/>
      <c r="B168" s="18" t="n"/>
      <c r="C168" s="18" t="n"/>
      <c r="D168" s="19" t="n"/>
      <c r="E168" s="19" t="n"/>
      <c r="F168" s="17">
        <f>IF(OR($B168="",$D168=""),"",$D168*$E168)</f>
        <v/>
      </c>
      <c r="G168" s="12">
        <f>IF($B168="","",IF(COUNTIF(Cellar!$A$5:$A$31,$B168)=0,"NOT IN THE CELLAR","ok"))</f>
        <v/>
      </c>
    </row>
    <row r="169">
      <c r="A169" s="13" t="n"/>
      <c r="B169" s="18" t="n"/>
      <c r="C169" s="18" t="n"/>
      <c r="D169" s="19" t="n"/>
      <c r="E169" s="19" t="n"/>
      <c r="F169" s="17">
        <f>IF(OR($B169="",$D169=""),"",$D169*$E169)</f>
        <v/>
      </c>
      <c r="G169" s="12">
        <f>IF($B169="","",IF(COUNTIF(Cellar!$A$5:$A$31,$B169)=0,"NOT IN THE CELLAR","ok"))</f>
        <v/>
      </c>
    </row>
    <row r="170">
      <c r="A170" s="13" t="n"/>
      <c r="B170" s="18" t="n"/>
      <c r="C170" s="18" t="n"/>
      <c r="D170" s="19" t="n"/>
      <c r="E170" s="19" t="n"/>
      <c r="F170" s="17">
        <f>IF(OR($B170="",$D170=""),"",$D170*$E170)</f>
        <v/>
      </c>
      <c r="G170" s="12">
        <f>IF($B170="","",IF(COUNTIF(Cellar!$A$5:$A$31,$B170)=0,"NOT IN THE CELLAR","ok"))</f>
        <v/>
      </c>
    </row>
    <row r="171">
      <c r="A171" s="13" t="n"/>
      <c r="B171" s="18" t="n"/>
      <c r="C171" s="18" t="n"/>
      <c r="D171" s="19" t="n"/>
      <c r="E171" s="19" t="n"/>
      <c r="F171" s="17">
        <f>IF(OR($B171="",$D171=""),"",$D171*$E171)</f>
        <v/>
      </c>
      <c r="G171" s="12">
        <f>IF($B171="","",IF(COUNTIF(Cellar!$A$5:$A$31,$B171)=0,"NOT IN THE CELLAR","ok"))</f>
        <v/>
      </c>
    </row>
    <row r="172">
      <c r="A172" s="13" t="n"/>
      <c r="B172" s="18" t="n"/>
      <c r="C172" s="18" t="n"/>
      <c r="D172" s="19" t="n"/>
      <c r="E172" s="19" t="n"/>
      <c r="F172" s="17">
        <f>IF(OR($B172="",$D172=""),"",$D172*$E172)</f>
        <v/>
      </c>
      <c r="G172" s="12">
        <f>IF($B172="","",IF(COUNTIF(Cellar!$A$5:$A$31,$B172)=0,"NOT IN THE CELLAR","ok"))</f>
        <v/>
      </c>
    </row>
    <row r="173">
      <c r="A173" s="13" t="n"/>
      <c r="B173" s="18" t="n"/>
      <c r="C173" s="18" t="n"/>
      <c r="D173" s="19" t="n"/>
      <c r="E173" s="19" t="n"/>
      <c r="F173" s="17">
        <f>IF(OR($B173="",$D173=""),"",$D173*$E173)</f>
        <v/>
      </c>
      <c r="G173" s="12">
        <f>IF($B173="","",IF(COUNTIF(Cellar!$A$5:$A$31,$B173)=0,"NOT IN THE CELLAR","ok"))</f>
        <v/>
      </c>
    </row>
    <row r="174">
      <c r="A174" s="13" t="n"/>
      <c r="B174" s="18" t="n"/>
      <c r="C174" s="18" t="n"/>
      <c r="D174" s="19" t="n"/>
      <c r="E174" s="19" t="n"/>
      <c r="F174" s="17">
        <f>IF(OR($B174="",$D174=""),"",$D174*$E174)</f>
        <v/>
      </c>
      <c r="G174" s="12">
        <f>IF($B174="","",IF(COUNTIF(Cellar!$A$5:$A$31,$B174)=0,"NOT IN THE CELLAR","ok"))</f>
        <v/>
      </c>
    </row>
    <row r="175">
      <c r="A175" s="13" t="n"/>
      <c r="B175" s="18" t="n"/>
      <c r="C175" s="18" t="n"/>
      <c r="D175" s="19" t="n"/>
      <c r="E175" s="19" t="n"/>
      <c r="F175" s="17">
        <f>IF(OR($B175="",$D175=""),"",$D175*$E175)</f>
        <v/>
      </c>
      <c r="G175" s="12">
        <f>IF($B175="","",IF(COUNTIF(Cellar!$A$5:$A$31,$B175)=0,"NOT IN THE CELLAR","ok"))</f>
        <v/>
      </c>
    </row>
    <row r="176">
      <c r="A176" s="13" t="n"/>
      <c r="B176" s="18" t="n"/>
      <c r="C176" s="18" t="n"/>
      <c r="D176" s="19" t="n"/>
      <c r="E176" s="19" t="n"/>
      <c r="F176" s="17">
        <f>IF(OR($B176="",$D176=""),"",$D176*$E176)</f>
        <v/>
      </c>
      <c r="G176" s="12">
        <f>IF($B176="","",IF(COUNTIF(Cellar!$A$5:$A$31,$B176)=0,"NOT IN THE CELLAR","ok"))</f>
        <v/>
      </c>
    </row>
    <row r="177">
      <c r="A177" s="13" t="n"/>
      <c r="B177" s="18" t="n"/>
      <c r="C177" s="18" t="n"/>
      <c r="D177" s="19" t="n"/>
      <c r="E177" s="19" t="n"/>
      <c r="F177" s="17">
        <f>IF(OR($B177="",$D177=""),"",$D177*$E177)</f>
        <v/>
      </c>
      <c r="G177" s="12">
        <f>IF($B177="","",IF(COUNTIF(Cellar!$A$5:$A$31,$B177)=0,"NOT IN THE CELLAR","ok"))</f>
        <v/>
      </c>
    </row>
    <row r="178">
      <c r="A178" s="13" t="n"/>
      <c r="B178" s="18" t="n"/>
      <c r="C178" s="18" t="n"/>
      <c r="D178" s="19" t="n"/>
      <c r="E178" s="19" t="n"/>
      <c r="F178" s="17">
        <f>IF(OR($B178="",$D178=""),"",$D178*$E178)</f>
        <v/>
      </c>
      <c r="G178" s="12">
        <f>IF($B178="","",IF(COUNTIF(Cellar!$A$5:$A$31,$B178)=0,"NOT IN THE CELLAR","ok"))</f>
        <v/>
      </c>
    </row>
    <row r="179">
      <c r="A179" s="13" t="n"/>
      <c r="B179" s="18" t="n"/>
      <c r="C179" s="18" t="n"/>
      <c r="D179" s="19" t="n"/>
      <c r="E179" s="19" t="n"/>
      <c r="F179" s="17">
        <f>IF(OR($B179="",$D179=""),"",$D179*$E179)</f>
        <v/>
      </c>
      <c r="G179" s="12">
        <f>IF($B179="","",IF(COUNTIF(Cellar!$A$5:$A$31,$B179)=0,"NOT IN THE CELLAR","ok"))</f>
        <v/>
      </c>
    </row>
    <row r="180">
      <c r="A180" s="13" t="n"/>
      <c r="B180" s="18" t="n"/>
      <c r="C180" s="18" t="n"/>
      <c r="D180" s="19" t="n"/>
      <c r="E180" s="19" t="n"/>
      <c r="F180" s="17">
        <f>IF(OR($B180="",$D180=""),"",$D180*$E180)</f>
        <v/>
      </c>
      <c r="G180" s="12">
        <f>IF($B180="","",IF(COUNTIF(Cellar!$A$5:$A$31,$B180)=0,"NOT IN THE CELLAR","ok"))</f>
        <v/>
      </c>
    </row>
    <row r="181">
      <c r="A181" s="13" t="n"/>
      <c r="B181" s="18" t="n"/>
      <c r="C181" s="18" t="n"/>
      <c r="D181" s="19" t="n"/>
      <c r="E181" s="19" t="n"/>
      <c r="F181" s="17">
        <f>IF(OR($B181="",$D181=""),"",$D181*$E181)</f>
        <v/>
      </c>
      <c r="G181" s="12">
        <f>IF($B181="","",IF(COUNTIF(Cellar!$A$5:$A$31,$B181)=0,"NOT IN THE CELLAR","ok"))</f>
        <v/>
      </c>
    </row>
    <row r="182">
      <c r="A182" s="13" t="n"/>
      <c r="B182" s="18" t="n"/>
      <c r="C182" s="18" t="n"/>
      <c r="D182" s="19" t="n"/>
      <c r="E182" s="19" t="n"/>
      <c r="F182" s="17">
        <f>IF(OR($B182="",$D182=""),"",$D182*$E182)</f>
        <v/>
      </c>
      <c r="G182" s="12">
        <f>IF($B182="","",IF(COUNTIF(Cellar!$A$5:$A$31,$B182)=0,"NOT IN THE CELLAR","ok"))</f>
        <v/>
      </c>
    </row>
    <row r="183">
      <c r="A183" s="13" t="n"/>
      <c r="B183" s="18" t="n"/>
      <c r="C183" s="18" t="n"/>
      <c r="D183" s="19" t="n"/>
      <c r="E183" s="19" t="n"/>
      <c r="F183" s="17">
        <f>IF(OR($B183="",$D183=""),"",$D183*$E183)</f>
        <v/>
      </c>
      <c r="G183" s="12">
        <f>IF($B183="","",IF(COUNTIF(Cellar!$A$5:$A$31,$B183)=0,"NOT IN THE CELLAR","ok"))</f>
        <v/>
      </c>
    </row>
    <row r="184">
      <c r="A184" s="13" t="n"/>
      <c r="B184" s="18" t="n"/>
      <c r="C184" s="18" t="n"/>
      <c r="D184" s="19" t="n"/>
      <c r="E184" s="19" t="n"/>
      <c r="F184" s="17">
        <f>IF(OR($B184="",$D184=""),"",$D184*$E184)</f>
        <v/>
      </c>
      <c r="G184" s="12">
        <f>IF($B184="","",IF(COUNTIF(Cellar!$A$5:$A$31,$B184)=0,"NOT IN THE CELLAR","ok"))</f>
        <v/>
      </c>
    </row>
    <row r="185">
      <c r="A185" s="13" t="n"/>
      <c r="B185" s="18" t="n"/>
      <c r="C185" s="18" t="n"/>
      <c r="D185" s="19" t="n"/>
      <c r="E185" s="19" t="n"/>
      <c r="F185" s="17">
        <f>IF(OR($B185="",$D185=""),"",$D185*$E185)</f>
        <v/>
      </c>
      <c r="G185" s="12">
        <f>IF($B185="","",IF(COUNTIF(Cellar!$A$5:$A$31,$B185)=0,"NOT IN THE CELLAR","ok"))</f>
        <v/>
      </c>
    </row>
    <row r="186">
      <c r="A186" s="13" t="n"/>
      <c r="B186" s="18" t="n"/>
      <c r="C186" s="18" t="n"/>
      <c r="D186" s="19" t="n"/>
      <c r="E186" s="19" t="n"/>
      <c r="F186" s="17">
        <f>IF(OR($B186="",$D186=""),"",$D186*$E186)</f>
        <v/>
      </c>
      <c r="G186" s="12">
        <f>IF($B186="","",IF(COUNTIF(Cellar!$A$5:$A$31,$B186)=0,"NOT IN THE CELLAR","ok"))</f>
        <v/>
      </c>
    </row>
    <row r="187">
      <c r="A187" s="13" t="n"/>
      <c r="B187" s="18" t="n"/>
      <c r="C187" s="18" t="n"/>
      <c r="D187" s="19" t="n"/>
      <c r="E187" s="19" t="n"/>
      <c r="F187" s="17">
        <f>IF(OR($B187="",$D187=""),"",$D187*$E187)</f>
        <v/>
      </c>
      <c r="G187" s="12">
        <f>IF($B187="","",IF(COUNTIF(Cellar!$A$5:$A$31,$B187)=0,"NOT IN THE CELLAR","ok"))</f>
        <v/>
      </c>
    </row>
    <row r="188">
      <c r="A188" s="13" t="n"/>
      <c r="B188" s="18" t="n"/>
      <c r="C188" s="18" t="n"/>
      <c r="D188" s="19" t="n"/>
      <c r="E188" s="19" t="n"/>
      <c r="F188" s="17">
        <f>IF(OR($B188="",$D188=""),"",$D188*$E188)</f>
        <v/>
      </c>
      <c r="G188" s="12">
        <f>IF($B188="","",IF(COUNTIF(Cellar!$A$5:$A$31,$B188)=0,"NOT IN THE CELLAR","ok"))</f>
        <v/>
      </c>
    </row>
    <row r="189">
      <c r="A189" s="13" t="n"/>
      <c r="B189" s="18" t="n"/>
      <c r="C189" s="18" t="n"/>
      <c r="D189" s="19" t="n"/>
      <c r="E189" s="19" t="n"/>
      <c r="F189" s="17">
        <f>IF(OR($B189="",$D189=""),"",$D189*$E189)</f>
        <v/>
      </c>
      <c r="G189" s="12">
        <f>IF($B189="","",IF(COUNTIF(Cellar!$A$5:$A$31,$B189)=0,"NOT IN THE CELLAR","ok"))</f>
        <v/>
      </c>
    </row>
    <row r="190">
      <c r="A190" s="13" t="n"/>
      <c r="B190" s="18" t="n"/>
      <c r="C190" s="18" t="n"/>
      <c r="D190" s="19" t="n"/>
      <c r="E190" s="19" t="n"/>
      <c r="F190" s="17">
        <f>IF(OR($B190="",$D190=""),"",$D190*$E190)</f>
        <v/>
      </c>
      <c r="G190" s="12">
        <f>IF($B190="","",IF(COUNTIF(Cellar!$A$5:$A$31,$B190)=0,"NOT IN THE CELLAR","ok"))</f>
        <v/>
      </c>
    </row>
    <row r="191">
      <c r="A191" s="13" t="n"/>
      <c r="B191" s="18" t="n"/>
      <c r="C191" s="18" t="n"/>
      <c r="D191" s="19" t="n"/>
      <c r="E191" s="19" t="n"/>
      <c r="F191" s="17">
        <f>IF(OR($B191="",$D191=""),"",$D191*$E191)</f>
        <v/>
      </c>
      <c r="G191" s="12">
        <f>IF($B191="","",IF(COUNTIF(Cellar!$A$5:$A$31,$B191)=0,"NOT IN THE CELLAR","ok"))</f>
        <v/>
      </c>
    </row>
    <row r="192">
      <c r="A192" s="13" t="n"/>
      <c r="B192" s="18" t="n"/>
      <c r="C192" s="18" t="n"/>
      <c r="D192" s="19" t="n"/>
      <c r="E192" s="19" t="n"/>
      <c r="F192" s="17">
        <f>IF(OR($B192="",$D192=""),"",$D192*$E192)</f>
        <v/>
      </c>
      <c r="G192" s="12">
        <f>IF($B192="","",IF(COUNTIF(Cellar!$A$5:$A$31,$B192)=0,"NOT IN THE CELLAR","ok"))</f>
        <v/>
      </c>
    </row>
    <row r="193">
      <c r="A193" s="13" t="n"/>
      <c r="B193" s="18" t="n"/>
      <c r="C193" s="18" t="n"/>
      <c r="D193" s="19" t="n"/>
      <c r="E193" s="19" t="n"/>
      <c r="F193" s="17">
        <f>IF(OR($B193="",$D193=""),"",$D193*$E193)</f>
        <v/>
      </c>
      <c r="G193" s="12">
        <f>IF($B193="","",IF(COUNTIF(Cellar!$A$5:$A$31,$B193)=0,"NOT IN THE CELLAR","ok"))</f>
        <v/>
      </c>
    </row>
    <row r="194">
      <c r="A194" s="13" t="n"/>
      <c r="B194" s="18" t="n"/>
      <c r="C194" s="18" t="n"/>
      <c r="D194" s="19" t="n"/>
      <c r="E194" s="19" t="n"/>
      <c r="F194" s="17">
        <f>IF(OR($B194="",$D194=""),"",$D194*$E194)</f>
        <v/>
      </c>
      <c r="G194" s="12">
        <f>IF($B194="","",IF(COUNTIF(Cellar!$A$5:$A$31,$B194)=0,"NOT IN THE CELLAR","ok"))</f>
        <v/>
      </c>
    </row>
    <row r="195">
      <c r="A195" s="13" t="n"/>
      <c r="B195" s="18" t="n"/>
      <c r="C195" s="18" t="n"/>
      <c r="D195" s="19" t="n"/>
      <c r="E195" s="19" t="n"/>
      <c r="F195" s="17">
        <f>IF(OR($B195="",$D195=""),"",$D195*$E195)</f>
        <v/>
      </c>
      <c r="G195" s="12">
        <f>IF($B195="","",IF(COUNTIF(Cellar!$A$5:$A$31,$B195)=0,"NOT IN THE CELLAR","ok"))</f>
        <v/>
      </c>
    </row>
    <row r="196">
      <c r="A196" s="13" t="n"/>
      <c r="B196" s="18" t="n"/>
      <c r="C196" s="18" t="n"/>
      <c r="D196" s="19" t="n"/>
      <c r="E196" s="19" t="n"/>
      <c r="F196" s="17">
        <f>IF(OR($B196="",$D196=""),"",$D196*$E196)</f>
        <v/>
      </c>
      <c r="G196" s="12">
        <f>IF($B196="","",IF(COUNTIF(Cellar!$A$5:$A$31,$B196)=0,"NOT IN THE CELLAR","ok"))</f>
        <v/>
      </c>
    </row>
    <row r="197">
      <c r="A197" s="13" t="n"/>
      <c r="B197" s="18" t="n"/>
      <c r="C197" s="18" t="n"/>
      <c r="D197" s="19" t="n"/>
      <c r="E197" s="19" t="n"/>
      <c r="F197" s="17">
        <f>IF(OR($B197="",$D197=""),"",$D197*$E197)</f>
        <v/>
      </c>
      <c r="G197" s="12">
        <f>IF($B197="","",IF(COUNTIF(Cellar!$A$5:$A$31,$B197)=0,"NOT IN THE CELLAR","ok"))</f>
        <v/>
      </c>
    </row>
    <row r="198">
      <c r="A198" s="13" t="n"/>
      <c r="B198" s="18" t="n"/>
      <c r="C198" s="18" t="n"/>
      <c r="D198" s="19" t="n"/>
      <c r="E198" s="19" t="n"/>
      <c r="F198" s="17">
        <f>IF(OR($B198="",$D198=""),"",$D198*$E198)</f>
        <v/>
      </c>
      <c r="G198" s="12">
        <f>IF($B198="","",IF(COUNTIF(Cellar!$A$5:$A$31,$B198)=0,"NOT IN THE CELLAR","ok"))</f>
        <v/>
      </c>
    </row>
    <row r="199">
      <c r="A199" s="13" t="n"/>
      <c r="B199" s="18" t="n"/>
      <c r="C199" s="18" t="n"/>
      <c r="D199" s="19" t="n"/>
      <c r="E199" s="19" t="n"/>
      <c r="F199" s="17">
        <f>IF(OR($B199="",$D199=""),"",$D199*$E199)</f>
        <v/>
      </c>
      <c r="G199" s="12">
        <f>IF($B199="","",IF(COUNTIF(Cellar!$A$5:$A$31,$B199)=0,"NOT IN THE CELLAR","ok"))</f>
        <v/>
      </c>
    </row>
    <row r="200">
      <c r="A200" s="13" t="n"/>
      <c r="B200" s="18" t="n"/>
      <c r="C200" s="18" t="n"/>
      <c r="D200" s="19" t="n"/>
      <c r="E200" s="19" t="n"/>
      <c r="F200" s="17">
        <f>IF(OR($B200="",$D200=""),"",$D200*$E200)</f>
        <v/>
      </c>
      <c r="G200" s="12">
        <f>IF($B200="","",IF(COUNTIF(Cellar!$A$5:$A$31,$B200)=0,"NOT IN THE CELLAR","ok"))</f>
        <v/>
      </c>
    </row>
    <row r="201">
      <c r="A201" s="13" t="n"/>
      <c r="B201" s="18" t="n"/>
      <c r="C201" s="18" t="n"/>
      <c r="D201" s="19" t="n"/>
      <c r="E201" s="19" t="n"/>
      <c r="F201" s="17">
        <f>IF(OR($B201="",$D201=""),"",$D201*$E201)</f>
        <v/>
      </c>
      <c r="G201" s="12">
        <f>IF($B201="","",IF(COUNTIF(Cellar!$A$5:$A$31,$B201)=0,"NOT IN THE CELLAR","ok"))</f>
        <v/>
      </c>
    </row>
    <row r="202">
      <c r="A202" s="13" t="n"/>
      <c r="B202" s="18" t="n"/>
      <c r="C202" s="18" t="n"/>
      <c r="D202" s="19" t="n"/>
      <c r="E202" s="19" t="n"/>
      <c r="F202" s="17">
        <f>IF(OR($B202="",$D202=""),"",$D202*$E202)</f>
        <v/>
      </c>
      <c r="G202" s="12">
        <f>IF($B202="","",IF(COUNTIF(Cellar!$A$5:$A$31,$B202)=0,"NOT IN THE CELLAR","ok"))</f>
        <v/>
      </c>
    </row>
    <row r="203">
      <c r="A203" s="13" t="n"/>
      <c r="B203" s="18" t="n"/>
      <c r="C203" s="18" t="n"/>
      <c r="D203" s="19" t="n"/>
      <c r="E203" s="19" t="n"/>
      <c r="F203" s="17">
        <f>IF(OR($B203="",$D203=""),"",$D203*$E203)</f>
        <v/>
      </c>
      <c r="G203" s="12">
        <f>IF($B203="","",IF(COUNTIF(Cellar!$A$5:$A$31,$B203)=0,"NOT IN THE CELLAR","ok"))</f>
        <v/>
      </c>
    </row>
    <row r="204">
      <c r="A204" s="13" t="n"/>
      <c r="B204" s="18" t="n"/>
      <c r="C204" s="18" t="n"/>
      <c r="D204" s="19" t="n"/>
      <c r="E204" s="19" t="n"/>
      <c r="F204" s="17">
        <f>IF(OR($B204="",$D204=""),"",$D204*$E204)</f>
        <v/>
      </c>
      <c r="G204" s="12">
        <f>IF($B204="","",IF(COUNTIF(Cellar!$A$5:$A$31,$B204)=0,"NOT IN THE CELLAR","ok"))</f>
        <v/>
      </c>
    </row>
    <row r="205">
      <c r="A205" s="13" t="n"/>
      <c r="B205" s="18" t="n"/>
      <c r="C205" s="18" t="n"/>
      <c r="D205" s="19" t="n"/>
      <c r="E205" s="19" t="n"/>
      <c r="F205" s="17">
        <f>IF(OR($B205="",$D205=""),"",$D205*$E205)</f>
        <v/>
      </c>
      <c r="G205" s="12">
        <f>IF($B205="","",IF(COUNTIF(Cellar!$A$5:$A$31,$B205)=0,"NOT IN THE CELLAR","ok"))</f>
        <v/>
      </c>
    </row>
    <row r="206">
      <c r="A206" s="13" t="n"/>
      <c r="B206" s="18" t="n"/>
      <c r="C206" s="18" t="n"/>
      <c r="D206" s="19" t="n"/>
      <c r="E206" s="19" t="n"/>
      <c r="F206" s="17">
        <f>IF(OR($B206="",$D206=""),"",$D206*$E206)</f>
        <v/>
      </c>
      <c r="G206" s="12">
        <f>IF($B206="","",IF(COUNTIF(Cellar!$A$5:$A$31,$B206)=0,"NOT IN THE CELLAR","ok"))</f>
        <v/>
      </c>
    </row>
    <row r="207">
      <c r="A207" s="13" t="n"/>
      <c r="B207" s="18" t="n"/>
      <c r="C207" s="18" t="n"/>
      <c r="D207" s="19" t="n"/>
      <c r="E207" s="19" t="n"/>
      <c r="F207" s="17">
        <f>IF(OR($B207="",$D207=""),"",$D207*$E207)</f>
        <v/>
      </c>
      <c r="G207" s="12">
        <f>IF($B207="","",IF(COUNTIF(Cellar!$A$5:$A$31,$B207)=0,"NOT IN THE CELLAR","ok"))</f>
        <v/>
      </c>
    </row>
    <row r="208">
      <c r="A208" s="13" t="n"/>
      <c r="B208" s="18" t="n"/>
      <c r="C208" s="18" t="n"/>
      <c r="D208" s="19" t="n"/>
      <c r="E208" s="19" t="n"/>
      <c r="F208" s="17">
        <f>IF(OR($B208="",$D208=""),"",$D208*$E208)</f>
        <v/>
      </c>
      <c r="G208" s="12">
        <f>IF($B208="","",IF(COUNTIF(Cellar!$A$5:$A$31,$B208)=0,"NOT IN THE CELLAR","ok"))</f>
        <v/>
      </c>
    </row>
    <row r="209">
      <c r="A209" s="13" t="n"/>
      <c r="B209" s="18" t="n"/>
      <c r="C209" s="18" t="n"/>
      <c r="D209" s="19" t="n"/>
      <c r="E209" s="19" t="n"/>
      <c r="F209" s="17">
        <f>IF(OR($B209="",$D209=""),"",$D209*$E209)</f>
        <v/>
      </c>
      <c r="G209" s="12">
        <f>IF($B209="","",IF(COUNTIF(Cellar!$A$5:$A$31,$B209)=0,"NOT IN THE CELLAR","ok"))</f>
        <v/>
      </c>
    </row>
    <row r="210">
      <c r="A210" s="13" t="n"/>
      <c r="B210" s="18" t="n"/>
      <c r="C210" s="18" t="n"/>
      <c r="D210" s="19" t="n"/>
      <c r="E210" s="19" t="n"/>
      <c r="F210" s="17">
        <f>IF(OR($B210="",$D210=""),"",$D210*$E210)</f>
        <v/>
      </c>
      <c r="G210" s="12">
        <f>IF($B210="","",IF(COUNTIF(Cellar!$A$5:$A$31,$B210)=0,"NOT IN THE CELLAR","ok"))</f>
        <v/>
      </c>
    </row>
    <row r="211">
      <c r="A211" s="13" t="n"/>
      <c r="B211" s="18" t="n"/>
      <c r="C211" s="18" t="n"/>
      <c r="D211" s="19" t="n"/>
      <c r="E211" s="19" t="n"/>
      <c r="F211" s="17">
        <f>IF(OR($B211="",$D211=""),"",$D211*$E211)</f>
        <v/>
      </c>
      <c r="G211" s="12">
        <f>IF($B211="","",IF(COUNTIF(Cellar!$A$5:$A$31,$B211)=0,"NOT IN THE CELLAR","ok"))</f>
        <v/>
      </c>
    </row>
    <row r="212">
      <c r="A212" s="13" t="n"/>
      <c r="B212" s="18" t="n"/>
      <c r="C212" s="18" t="n"/>
      <c r="D212" s="19" t="n"/>
      <c r="E212" s="19" t="n"/>
      <c r="F212" s="17">
        <f>IF(OR($B212="",$D212=""),"",$D212*$E212)</f>
        <v/>
      </c>
      <c r="G212" s="12">
        <f>IF($B212="","",IF(COUNTIF(Cellar!$A$5:$A$31,$B212)=0,"NOT IN THE CELLAR","ok"))</f>
        <v/>
      </c>
    </row>
    <row r="213">
      <c r="A213" s="13" t="n"/>
      <c r="B213" s="18" t="n"/>
      <c r="C213" s="18" t="n"/>
      <c r="D213" s="19" t="n"/>
      <c r="E213" s="19" t="n"/>
      <c r="F213" s="17">
        <f>IF(OR($B213="",$D213=""),"",$D213*$E213)</f>
        <v/>
      </c>
      <c r="G213" s="12">
        <f>IF($B213="","",IF(COUNTIF(Cellar!$A$5:$A$31,$B213)=0,"NOT IN THE CELLAR","ok"))</f>
        <v/>
      </c>
    </row>
    <row r="214">
      <c r="A214" s="13" t="n"/>
      <c r="B214" s="18" t="n"/>
      <c r="C214" s="18" t="n"/>
      <c r="D214" s="19" t="n"/>
      <c r="E214" s="19" t="n"/>
      <c r="F214" s="17">
        <f>IF(OR($B214="",$D214=""),"",$D214*$E214)</f>
        <v/>
      </c>
      <c r="G214" s="12">
        <f>IF($B214="","",IF(COUNTIF(Cellar!$A$5:$A$31,$B214)=0,"NOT IN THE CELLAR","ok"))</f>
        <v/>
      </c>
    </row>
    <row r="215">
      <c r="A215" s="13" t="n"/>
      <c r="B215" s="18" t="n"/>
      <c r="C215" s="18" t="n"/>
      <c r="D215" s="19" t="n"/>
      <c r="E215" s="19" t="n"/>
      <c r="F215" s="17">
        <f>IF(OR($B215="",$D215=""),"",$D215*$E215)</f>
        <v/>
      </c>
      <c r="G215" s="12">
        <f>IF($B215="","",IF(COUNTIF(Cellar!$A$5:$A$31,$B215)=0,"NOT IN THE CELLAR","ok"))</f>
        <v/>
      </c>
    </row>
    <row r="216">
      <c r="A216" s="13" t="n"/>
      <c r="B216" s="18" t="n"/>
      <c r="C216" s="18" t="n"/>
      <c r="D216" s="19" t="n"/>
      <c r="E216" s="19" t="n"/>
      <c r="F216" s="17">
        <f>IF(OR($B216="",$D216=""),"",$D216*$E216)</f>
        <v/>
      </c>
      <c r="G216" s="12">
        <f>IF($B216="","",IF(COUNTIF(Cellar!$A$5:$A$31,$B216)=0,"NOT IN THE CELLAR","ok"))</f>
        <v/>
      </c>
    </row>
    <row r="217">
      <c r="A217" s="13" t="n"/>
      <c r="B217" s="18" t="n"/>
      <c r="C217" s="18" t="n"/>
      <c r="D217" s="19" t="n"/>
      <c r="E217" s="19" t="n"/>
      <c r="F217" s="17">
        <f>IF(OR($B217="",$D217=""),"",$D217*$E217)</f>
        <v/>
      </c>
      <c r="G217" s="12">
        <f>IF($B217="","",IF(COUNTIF(Cellar!$A$5:$A$31,$B217)=0,"NOT IN THE CELLAR","ok"))</f>
        <v/>
      </c>
    </row>
    <row r="218">
      <c r="A218" s="13" t="n"/>
      <c r="B218" s="18" t="n"/>
      <c r="C218" s="18" t="n"/>
      <c r="D218" s="19" t="n"/>
      <c r="E218" s="19" t="n"/>
      <c r="F218" s="17">
        <f>IF(OR($B218="",$D218=""),"",$D218*$E218)</f>
        <v/>
      </c>
      <c r="G218" s="12">
        <f>IF($B218="","",IF(COUNTIF(Cellar!$A$5:$A$31,$B218)=0,"NOT IN THE CELLAR","ok"))</f>
        <v/>
      </c>
    </row>
    <row r="219">
      <c r="A219" s="13" t="n"/>
      <c r="B219" s="18" t="n"/>
      <c r="C219" s="18" t="n"/>
      <c r="D219" s="19" t="n"/>
      <c r="E219" s="19" t="n"/>
      <c r="F219" s="17">
        <f>IF(OR($B219="",$D219=""),"",$D219*$E219)</f>
        <v/>
      </c>
      <c r="G219" s="12">
        <f>IF($B219="","",IF(COUNTIF(Cellar!$A$5:$A$31,$B219)=0,"NOT IN THE CELLAR","ok"))</f>
        <v/>
      </c>
    </row>
    <row r="220">
      <c r="A220" s="13" t="n"/>
      <c r="B220" s="18" t="n"/>
      <c r="C220" s="18" t="n"/>
      <c r="D220" s="19" t="n"/>
      <c r="E220" s="19" t="n"/>
      <c r="F220" s="17">
        <f>IF(OR($B220="",$D220=""),"",$D220*$E220)</f>
        <v/>
      </c>
      <c r="G220" s="12">
        <f>IF($B220="","",IF(COUNTIF(Cellar!$A$5:$A$31,$B220)=0,"NOT IN THE CELLAR","ok"))</f>
        <v/>
      </c>
    </row>
    <row r="221">
      <c r="A221" s="13" t="n"/>
      <c r="B221" s="18" t="n"/>
      <c r="C221" s="18" t="n"/>
      <c r="D221" s="19" t="n"/>
      <c r="E221" s="19" t="n"/>
      <c r="F221" s="17">
        <f>IF(OR($B221="",$D221=""),"",$D221*$E221)</f>
        <v/>
      </c>
      <c r="G221" s="12">
        <f>IF($B221="","",IF(COUNTIF(Cellar!$A$5:$A$31,$B221)=0,"NOT IN THE CELLAR","ok"))</f>
        <v/>
      </c>
    </row>
    <row r="222">
      <c r="A222" s="13" t="n"/>
      <c r="B222" s="18" t="n"/>
      <c r="C222" s="18" t="n"/>
      <c r="D222" s="19" t="n"/>
      <c r="E222" s="19" t="n"/>
      <c r="F222" s="17">
        <f>IF(OR($B222="",$D222=""),"",$D222*$E222)</f>
        <v/>
      </c>
      <c r="G222" s="12">
        <f>IF($B222="","",IF(COUNTIF(Cellar!$A$5:$A$31,$B222)=0,"NOT IN THE CELLAR","ok"))</f>
        <v/>
      </c>
    </row>
    <row r="223">
      <c r="A223" s="13" t="n"/>
      <c r="B223" s="18" t="n"/>
      <c r="C223" s="18" t="n"/>
      <c r="D223" s="19" t="n"/>
      <c r="E223" s="19" t="n"/>
      <c r="F223" s="17">
        <f>IF(OR($B223="",$D223=""),"",$D223*$E223)</f>
        <v/>
      </c>
      <c r="G223" s="12">
        <f>IF($B223="","",IF(COUNTIF(Cellar!$A$5:$A$31,$B223)=0,"NOT IN THE CELLAR","ok"))</f>
        <v/>
      </c>
    </row>
    <row r="224">
      <c r="A224" s="13" t="n"/>
      <c r="B224" s="18" t="n"/>
      <c r="C224" s="18" t="n"/>
      <c r="D224" s="19" t="n"/>
      <c r="E224" s="19" t="n"/>
      <c r="F224" s="17">
        <f>IF(OR($B224="",$D224=""),"",$D224*$E224)</f>
        <v/>
      </c>
      <c r="G224" s="12">
        <f>IF($B224="","",IF(COUNTIF(Cellar!$A$5:$A$31,$B224)=0,"NOT IN THE CELLAR","ok"))</f>
        <v/>
      </c>
    </row>
    <row r="225">
      <c r="A225" s="13" t="n"/>
      <c r="B225" s="18" t="n"/>
      <c r="C225" s="18" t="n"/>
      <c r="D225" s="19" t="n"/>
      <c r="E225" s="19" t="n"/>
      <c r="F225" s="17">
        <f>IF(OR($B225="",$D225=""),"",$D225*$E225)</f>
        <v/>
      </c>
      <c r="G225" s="12">
        <f>IF($B225="","",IF(COUNTIF(Cellar!$A$5:$A$31,$B225)=0,"NOT IN THE CELLAR","ok"))</f>
        <v/>
      </c>
    </row>
    <row r="226">
      <c r="A226" s="13" t="n"/>
      <c r="B226" s="18" t="n"/>
      <c r="C226" s="18" t="n"/>
      <c r="D226" s="19" t="n"/>
      <c r="E226" s="19" t="n"/>
      <c r="F226" s="17">
        <f>IF(OR($B226="",$D226=""),"",$D226*$E226)</f>
        <v/>
      </c>
      <c r="G226" s="12">
        <f>IF($B226="","",IF(COUNTIF(Cellar!$A$5:$A$31,$B226)=0,"NOT IN THE CELLAR","ok"))</f>
        <v/>
      </c>
    </row>
    <row r="227">
      <c r="A227" s="13" t="n"/>
      <c r="B227" s="18" t="n"/>
      <c r="C227" s="18" t="n"/>
      <c r="D227" s="19" t="n"/>
      <c r="E227" s="19" t="n"/>
      <c r="F227" s="17">
        <f>IF(OR($B227="",$D227=""),"",$D227*$E227)</f>
        <v/>
      </c>
      <c r="G227" s="12">
        <f>IF($B227="","",IF(COUNTIF(Cellar!$A$5:$A$31,$B227)=0,"NOT IN THE CELLAR","ok"))</f>
        <v/>
      </c>
    </row>
    <row r="228">
      <c r="A228" s="13" t="n"/>
      <c r="B228" s="18" t="n"/>
      <c r="C228" s="18" t="n"/>
      <c r="D228" s="19" t="n"/>
      <c r="E228" s="19" t="n"/>
      <c r="F228" s="17">
        <f>IF(OR($B228="",$D228=""),"",$D228*$E228)</f>
        <v/>
      </c>
      <c r="G228" s="12">
        <f>IF($B228="","",IF(COUNTIF(Cellar!$A$5:$A$31,$B228)=0,"NOT IN THE CELLAR","ok"))</f>
        <v/>
      </c>
    </row>
    <row r="229">
      <c r="A229" s="13" t="n"/>
      <c r="B229" s="18" t="n"/>
      <c r="C229" s="18" t="n"/>
      <c r="D229" s="19" t="n"/>
      <c r="E229" s="19" t="n"/>
      <c r="F229" s="17">
        <f>IF(OR($B229="",$D229=""),"",$D229*$E229)</f>
        <v/>
      </c>
      <c r="G229" s="12">
        <f>IF($B229="","",IF(COUNTIF(Cellar!$A$5:$A$31,$B229)=0,"NOT IN THE CELLAR","ok"))</f>
        <v/>
      </c>
    </row>
    <row r="230">
      <c r="A230" s="13" t="n"/>
      <c r="B230" s="18" t="n"/>
      <c r="C230" s="18" t="n"/>
      <c r="D230" s="19" t="n"/>
      <c r="E230" s="19" t="n"/>
      <c r="F230" s="17">
        <f>IF(OR($B230="",$D230=""),"",$D230*$E230)</f>
        <v/>
      </c>
      <c r="G230" s="12">
        <f>IF($B230="","",IF(COUNTIF(Cellar!$A$5:$A$31,$B230)=0,"NOT IN THE CELLAR","ok"))</f>
        <v/>
      </c>
    </row>
    <row r="231">
      <c r="A231" s="13" t="n"/>
      <c r="B231" s="18" t="n"/>
      <c r="C231" s="18" t="n"/>
      <c r="D231" s="19" t="n"/>
      <c r="E231" s="19" t="n"/>
      <c r="F231" s="17">
        <f>IF(OR($B231="",$D231=""),"",$D231*$E231)</f>
        <v/>
      </c>
      <c r="G231" s="12">
        <f>IF($B231="","",IF(COUNTIF(Cellar!$A$5:$A$31,$B231)=0,"NOT IN THE CELLAR","ok"))</f>
        <v/>
      </c>
    </row>
    <row r="232">
      <c r="A232" s="13" t="n"/>
      <c r="B232" s="18" t="n"/>
      <c r="C232" s="18" t="n"/>
      <c r="D232" s="19" t="n"/>
      <c r="E232" s="19" t="n"/>
      <c r="F232" s="17">
        <f>IF(OR($B232="",$D232=""),"",$D232*$E232)</f>
        <v/>
      </c>
      <c r="G232" s="12">
        <f>IF($B232="","",IF(COUNTIF(Cellar!$A$5:$A$31,$B232)=0,"NOT IN THE CELLAR","ok"))</f>
        <v/>
      </c>
    </row>
    <row r="233">
      <c r="A233" s="13" t="n"/>
      <c r="B233" s="18" t="n"/>
      <c r="C233" s="18" t="n"/>
      <c r="D233" s="19" t="n"/>
      <c r="E233" s="19" t="n"/>
      <c r="F233" s="17">
        <f>IF(OR($B233="",$D233=""),"",$D233*$E233)</f>
        <v/>
      </c>
      <c r="G233" s="12">
        <f>IF($B233="","",IF(COUNTIF(Cellar!$A$5:$A$31,$B233)=0,"NOT IN THE CELLAR","ok"))</f>
        <v/>
      </c>
    </row>
    <row r="234">
      <c r="A234" s="13" t="n"/>
      <c r="B234" s="18" t="n"/>
      <c r="C234" s="18" t="n"/>
      <c r="D234" s="19" t="n"/>
      <c r="E234" s="19" t="n"/>
      <c r="F234" s="17">
        <f>IF(OR($B234="",$D234=""),"",$D234*$E234)</f>
        <v/>
      </c>
      <c r="G234" s="12">
        <f>IF($B234="","",IF(COUNTIF(Cellar!$A$5:$A$31,$B234)=0,"NOT IN THE CELLAR","ok"))</f>
        <v/>
      </c>
    </row>
    <row r="235">
      <c r="A235" s="13" t="n"/>
      <c r="B235" s="18" t="n"/>
      <c r="C235" s="18" t="n"/>
      <c r="D235" s="19" t="n"/>
      <c r="E235" s="19" t="n"/>
      <c r="F235" s="17">
        <f>IF(OR($B235="",$D235=""),"",$D235*$E235)</f>
        <v/>
      </c>
      <c r="G235" s="12">
        <f>IF($B235="","",IF(COUNTIF(Cellar!$A$5:$A$31,$B235)=0,"NOT IN THE CELLAR","ok"))</f>
        <v/>
      </c>
    </row>
    <row r="236">
      <c r="A236" s="13" t="n"/>
      <c r="B236" s="18" t="n"/>
      <c r="C236" s="18" t="n"/>
      <c r="D236" s="19" t="n"/>
      <c r="E236" s="19" t="n"/>
      <c r="F236" s="17">
        <f>IF(OR($B236="",$D236=""),"",$D236*$E236)</f>
        <v/>
      </c>
      <c r="G236" s="12">
        <f>IF($B236="","",IF(COUNTIF(Cellar!$A$5:$A$31,$B236)=0,"NOT IN THE CELLAR","ok"))</f>
        <v/>
      </c>
    </row>
    <row r="237">
      <c r="A237" s="13" t="n"/>
      <c r="B237" s="18" t="n"/>
      <c r="C237" s="18" t="n"/>
      <c r="D237" s="19" t="n"/>
      <c r="E237" s="19" t="n"/>
      <c r="F237" s="17">
        <f>IF(OR($B237="",$D237=""),"",$D237*$E237)</f>
        <v/>
      </c>
      <c r="G237" s="12">
        <f>IF($B237="","",IF(COUNTIF(Cellar!$A$5:$A$31,$B237)=0,"NOT IN THE CELLAR","ok"))</f>
        <v/>
      </c>
    </row>
    <row r="238">
      <c r="A238" s="13" t="n"/>
      <c r="B238" s="18" t="n"/>
      <c r="C238" s="18" t="n"/>
      <c r="D238" s="19" t="n"/>
      <c r="E238" s="19" t="n"/>
      <c r="F238" s="17">
        <f>IF(OR($B238="",$D238=""),"",$D238*$E238)</f>
        <v/>
      </c>
      <c r="G238" s="12">
        <f>IF($B238="","",IF(COUNTIF(Cellar!$A$5:$A$31,$B238)=0,"NOT IN THE CELLAR","ok"))</f>
        <v/>
      </c>
    </row>
    <row r="239">
      <c r="A239" s="13" t="n"/>
      <c r="B239" s="18" t="n"/>
      <c r="C239" s="18" t="n"/>
      <c r="D239" s="19" t="n"/>
      <c r="E239" s="19" t="n"/>
      <c r="F239" s="17">
        <f>IF(OR($B239="",$D239=""),"",$D239*$E239)</f>
        <v/>
      </c>
      <c r="G239" s="12">
        <f>IF($B239="","",IF(COUNTIF(Cellar!$A$5:$A$31,$B239)=0,"NOT IN THE CELLAR","ok"))</f>
        <v/>
      </c>
    </row>
    <row r="240">
      <c r="A240" s="13" t="n"/>
      <c r="B240" s="18" t="n"/>
      <c r="C240" s="18" t="n"/>
      <c r="D240" s="19" t="n"/>
      <c r="E240" s="19" t="n"/>
      <c r="F240" s="17">
        <f>IF(OR($B240="",$D240=""),"",$D240*$E240)</f>
        <v/>
      </c>
      <c r="G240" s="12">
        <f>IF($B240="","",IF(COUNTIF(Cellar!$A$5:$A$31,$B240)=0,"NOT IN THE CELLAR","ok"))</f>
        <v/>
      </c>
    </row>
    <row r="241">
      <c r="A241" s="13" t="n"/>
      <c r="B241" s="18" t="n"/>
      <c r="C241" s="18" t="n"/>
      <c r="D241" s="19" t="n"/>
      <c r="E241" s="19" t="n"/>
      <c r="F241" s="17">
        <f>IF(OR($B241="",$D241=""),"",$D241*$E241)</f>
        <v/>
      </c>
      <c r="G241" s="12">
        <f>IF($B241="","",IF(COUNTIF(Cellar!$A$5:$A$31,$B241)=0,"NOT IN THE CELLAR","ok"))</f>
        <v/>
      </c>
    </row>
    <row r="242">
      <c r="A242" s="13" t="n"/>
      <c r="B242" s="18" t="n"/>
      <c r="C242" s="18" t="n"/>
      <c r="D242" s="19" t="n"/>
      <c r="E242" s="19" t="n"/>
      <c r="F242" s="17">
        <f>IF(OR($B242="",$D242=""),"",$D242*$E242)</f>
        <v/>
      </c>
      <c r="G242" s="12">
        <f>IF($B242="","",IF(COUNTIF(Cellar!$A$5:$A$31,$B242)=0,"NOT IN THE CELLAR","ok"))</f>
        <v/>
      </c>
    </row>
    <row r="243">
      <c r="A243" s="13" t="n"/>
      <c r="B243" s="18" t="n"/>
      <c r="C243" s="18" t="n"/>
      <c r="D243" s="19" t="n"/>
      <c r="E243" s="19" t="n"/>
      <c r="F243" s="17">
        <f>IF(OR($B243="",$D243=""),"",$D243*$E243)</f>
        <v/>
      </c>
      <c r="G243" s="12">
        <f>IF($B243="","",IF(COUNTIF(Cellar!$A$5:$A$31,$B243)=0,"NOT IN THE CELLAR","ok"))</f>
        <v/>
      </c>
    </row>
    <row r="244">
      <c r="A244" s="13" t="n"/>
      <c r="B244" s="18" t="n"/>
      <c r="C244" s="18" t="n"/>
      <c r="D244" s="19" t="n"/>
      <c r="E244" s="19" t="n"/>
      <c r="F244" s="17">
        <f>IF(OR($B244="",$D244=""),"",$D244*$E244)</f>
        <v/>
      </c>
      <c r="G244" s="12">
        <f>IF($B244="","",IF(COUNTIF(Cellar!$A$5:$A$31,$B244)=0,"NOT IN THE CELLAR","ok"))</f>
        <v/>
      </c>
    </row>
    <row r="245">
      <c r="A245" s="13" t="n"/>
      <c r="B245" s="18" t="n"/>
      <c r="C245" s="18" t="n"/>
      <c r="D245" s="19" t="n"/>
      <c r="E245" s="19" t="n"/>
      <c r="F245" s="17">
        <f>IF(OR($B245="",$D245=""),"",$D245*$E245)</f>
        <v/>
      </c>
      <c r="G245" s="12">
        <f>IF($B245="","",IF(COUNTIF(Cellar!$A$5:$A$31,$B245)=0,"NOT IN THE CELLAR","ok"))</f>
        <v/>
      </c>
    </row>
    <row r="246">
      <c r="A246" s="13" t="n"/>
      <c r="B246" s="18" t="n"/>
      <c r="C246" s="18" t="n"/>
      <c r="D246" s="19" t="n"/>
      <c r="E246" s="19" t="n"/>
      <c r="F246" s="17">
        <f>IF(OR($B246="",$D246=""),"",$D246*$E246)</f>
        <v/>
      </c>
      <c r="G246" s="12">
        <f>IF($B246="","",IF(COUNTIF(Cellar!$A$5:$A$31,$B246)=0,"NOT IN THE CELLAR","ok"))</f>
        <v/>
      </c>
    </row>
    <row r="247">
      <c r="A247" s="13" t="n"/>
      <c r="B247" s="18" t="n"/>
      <c r="C247" s="18" t="n"/>
      <c r="D247" s="19" t="n"/>
      <c r="E247" s="19" t="n"/>
      <c r="F247" s="17">
        <f>IF(OR($B247="",$D247=""),"",$D247*$E247)</f>
        <v/>
      </c>
      <c r="G247" s="12">
        <f>IF($B247="","",IF(COUNTIF(Cellar!$A$5:$A$31,$B247)=0,"NOT IN THE CELLAR","ok"))</f>
        <v/>
      </c>
    </row>
    <row r="248">
      <c r="A248" s="13" t="n"/>
      <c r="B248" s="18" t="n"/>
      <c r="C248" s="18" t="n"/>
      <c r="D248" s="19" t="n"/>
      <c r="E248" s="19" t="n"/>
      <c r="F248" s="17">
        <f>IF(OR($B248="",$D248=""),"",$D248*$E248)</f>
        <v/>
      </c>
      <c r="G248" s="12">
        <f>IF($B248="","",IF(COUNTIF(Cellar!$A$5:$A$31,$B248)=0,"NOT IN THE CELLAR","ok"))</f>
        <v/>
      </c>
    </row>
    <row r="249">
      <c r="A249" s="13" t="n"/>
      <c r="B249" s="18" t="n"/>
      <c r="C249" s="18" t="n"/>
      <c r="D249" s="19" t="n"/>
      <c r="E249" s="19" t="n"/>
      <c r="F249" s="17">
        <f>IF(OR($B249="",$D249=""),"",$D249*$E249)</f>
        <v/>
      </c>
      <c r="G249" s="12">
        <f>IF($B249="","",IF(COUNTIF(Cellar!$A$5:$A$31,$B249)=0,"NOT IN THE CELLAR","ok"))</f>
        <v/>
      </c>
    </row>
    <row r="250">
      <c r="A250" s="13" t="n"/>
      <c r="B250" s="18" t="n"/>
      <c r="C250" s="18" t="n"/>
      <c r="D250" s="19" t="n"/>
      <c r="E250" s="19" t="n"/>
      <c r="F250" s="17">
        <f>IF(OR($B250="",$D250=""),"",$D250*$E250)</f>
        <v/>
      </c>
      <c r="G250" s="12">
        <f>IF($B250="","",IF(COUNTIF(Cellar!$A$5:$A$31,$B250)=0,"NOT IN THE CELLAR","ok"))</f>
        <v/>
      </c>
    </row>
    <row r="251">
      <c r="A251" s="13" t="n"/>
      <c r="B251" s="18" t="n"/>
      <c r="C251" s="18" t="n"/>
      <c r="D251" s="19" t="n"/>
      <c r="E251" s="19" t="n"/>
      <c r="F251" s="17">
        <f>IF(OR($B251="",$D251=""),"",$D251*$E251)</f>
        <v/>
      </c>
      <c r="G251" s="12">
        <f>IF($B251="","",IF(COUNTIF(Cellar!$A$5:$A$31,$B251)=0,"NOT IN THE CELLAR","ok"))</f>
        <v/>
      </c>
    </row>
    <row r="252">
      <c r="A252" s="13" t="n"/>
      <c r="B252" s="18" t="n"/>
      <c r="C252" s="18" t="n"/>
      <c r="D252" s="19" t="n"/>
      <c r="E252" s="19" t="n"/>
      <c r="F252" s="17">
        <f>IF(OR($B252="",$D252=""),"",$D252*$E252)</f>
        <v/>
      </c>
      <c r="G252" s="12">
        <f>IF($B252="","",IF(COUNTIF(Cellar!$A$5:$A$31,$B252)=0,"NOT IN THE CELLAR","ok"))</f>
        <v/>
      </c>
    </row>
    <row r="253">
      <c r="A253" s="13" t="n"/>
      <c r="B253" s="18" t="n"/>
      <c r="C253" s="18" t="n"/>
      <c r="D253" s="19" t="n"/>
      <c r="E253" s="19" t="n"/>
      <c r="F253" s="17">
        <f>IF(OR($B253="",$D253=""),"",$D253*$E253)</f>
        <v/>
      </c>
      <c r="G253" s="12">
        <f>IF($B253="","",IF(COUNTIF(Cellar!$A$5:$A$31,$B253)=0,"NOT IN THE CELLAR","ok"))</f>
        <v/>
      </c>
    </row>
    <row r="254">
      <c r="A254" s="13" t="n"/>
      <c r="B254" s="18" t="n"/>
      <c r="C254" s="18" t="n"/>
      <c r="D254" s="19" t="n"/>
      <c r="E254" s="19" t="n"/>
      <c r="F254" s="17">
        <f>IF(OR($B254="",$D254=""),"",$D254*$E254)</f>
        <v/>
      </c>
      <c r="G254" s="12">
        <f>IF($B254="","",IF(COUNTIF(Cellar!$A$5:$A$31,$B254)=0,"NOT IN THE CELLAR","ok"))</f>
        <v/>
      </c>
    </row>
    <row r="255">
      <c r="A255" s="13" t="n"/>
      <c r="B255" s="18" t="n"/>
      <c r="C255" s="18" t="n"/>
      <c r="D255" s="19" t="n"/>
      <c r="E255" s="19" t="n"/>
      <c r="F255" s="17">
        <f>IF(OR($B255="",$D255=""),"",$D255*$E255)</f>
        <v/>
      </c>
      <c r="G255" s="12">
        <f>IF($B255="","",IF(COUNTIF(Cellar!$A$5:$A$31,$B255)=0,"NOT IN THE CELLAR","ok"))</f>
        <v/>
      </c>
    </row>
    <row r="256">
      <c r="A256" s="13" t="n"/>
      <c r="B256" s="18" t="n"/>
      <c r="C256" s="18" t="n"/>
      <c r="D256" s="19" t="n"/>
      <c r="E256" s="19" t="n"/>
      <c r="F256" s="17">
        <f>IF(OR($B256="",$D256=""),"",$D256*$E256)</f>
        <v/>
      </c>
      <c r="G256" s="12">
        <f>IF($B256="","",IF(COUNTIF(Cellar!$A$5:$A$31,$B256)=0,"NOT IN THE CELLAR","ok"))</f>
        <v/>
      </c>
    </row>
    <row r="257">
      <c r="A257" s="13" t="n"/>
      <c r="B257" s="18" t="n"/>
      <c r="C257" s="18" t="n"/>
      <c r="D257" s="19" t="n"/>
      <c r="E257" s="19" t="n"/>
      <c r="F257" s="17">
        <f>IF(OR($B257="",$D257=""),"",$D257*$E257)</f>
        <v/>
      </c>
      <c r="G257" s="12">
        <f>IF($B257="","",IF(COUNTIF(Cellar!$A$5:$A$31,$B257)=0,"NOT IN THE CELLAR","ok"))</f>
        <v/>
      </c>
    </row>
    <row r="258">
      <c r="A258" s="13" t="n"/>
      <c r="B258" s="18" t="n"/>
      <c r="C258" s="18" t="n"/>
      <c r="D258" s="19" t="n"/>
      <c r="E258" s="19" t="n"/>
      <c r="F258" s="17">
        <f>IF(OR($B258="",$D258=""),"",$D258*$E258)</f>
        <v/>
      </c>
      <c r="G258" s="12">
        <f>IF($B258="","",IF(COUNTIF(Cellar!$A$5:$A$31,$B258)=0,"NOT IN THE CELLAR","ok"))</f>
        <v/>
      </c>
    </row>
    <row r="259">
      <c r="A259" s="13" t="n"/>
      <c r="B259" s="18" t="n"/>
      <c r="C259" s="18" t="n"/>
      <c r="D259" s="19" t="n"/>
      <c r="E259" s="19" t="n"/>
      <c r="F259" s="17">
        <f>IF(OR($B259="",$D259=""),"",$D259*$E259)</f>
        <v/>
      </c>
      <c r="G259" s="12">
        <f>IF($B259="","",IF(COUNTIF(Cellar!$A$5:$A$31,$B259)=0,"NOT IN THE CELLAR","ok"))</f>
        <v/>
      </c>
    </row>
    <row r="260">
      <c r="A260" s="13" t="n"/>
      <c r="B260" s="18" t="n"/>
      <c r="C260" s="18" t="n"/>
      <c r="D260" s="19" t="n"/>
      <c r="E260" s="19" t="n"/>
      <c r="F260" s="17">
        <f>IF(OR($B260="",$D260=""),"",$D260*$E260)</f>
        <v/>
      </c>
      <c r="G260" s="12">
        <f>IF($B260="","",IF(COUNTIF(Cellar!$A$5:$A$31,$B260)=0,"NOT IN THE CELLAR","ok"))</f>
        <v/>
      </c>
    </row>
    <row r="261">
      <c r="A261" s="13" t="n"/>
      <c r="B261" s="18" t="n"/>
      <c r="C261" s="18" t="n"/>
      <c r="D261" s="19" t="n"/>
      <c r="E261" s="19" t="n"/>
      <c r="F261" s="17">
        <f>IF(OR($B261="",$D261=""),"",$D261*$E261)</f>
        <v/>
      </c>
      <c r="G261" s="12">
        <f>IF($B261="","",IF(COUNTIF(Cellar!$A$5:$A$31,$B261)=0,"NOT IN THE CELLAR","ok"))</f>
        <v/>
      </c>
    </row>
    <row r="262">
      <c r="A262" s="13" t="n"/>
      <c r="B262" s="18" t="n"/>
      <c r="C262" s="18" t="n"/>
      <c r="D262" s="19" t="n"/>
      <c r="E262" s="19" t="n"/>
      <c r="F262" s="17">
        <f>IF(OR($B262="",$D262=""),"",$D262*$E262)</f>
        <v/>
      </c>
      <c r="G262" s="12">
        <f>IF($B262="","",IF(COUNTIF(Cellar!$A$5:$A$31,$B262)=0,"NOT IN THE CELLAR","ok"))</f>
        <v/>
      </c>
    </row>
    <row r="263">
      <c r="A263" s="13" t="n"/>
      <c r="B263" s="18" t="n"/>
      <c r="C263" s="18" t="n"/>
      <c r="D263" s="19" t="n"/>
      <c r="E263" s="19" t="n"/>
      <c r="F263" s="17">
        <f>IF(OR($B263="",$D263=""),"",$D263*$E263)</f>
        <v/>
      </c>
      <c r="G263" s="12">
        <f>IF($B263="","",IF(COUNTIF(Cellar!$A$5:$A$31,$B263)=0,"NOT IN THE CELLAR","ok"))</f>
        <v/>
      </c>
    </row>
    <row r="264">
      <c r="A264" s="13" t="n"/>
      <c r="B264" s="18" t="n"/>
      <c r="C264" s="18" t="n"/>
      <c r="D264" s="19" t="n"/>
      <c r="E264" s="19" t="n"/>
      <c r="F264" s="17">
        <f>IF(OR($B264="",$D264=""),"",$D264*$E264)</f>
        <v/>
      </c>
      <c r="G264" s="12">
        <f>IF($B264="","",IF(COUNTIF(Cellar!$A$5:$A$31,$B264)=0,"NOT IN THE CELLAR","ok"))</f>
        <v/>
      </c>
    </row>
    <row r="265">
      <c r="A265" s="13" t="n"/>
      <c r="B265" s="18" t="n"/>
      <c r="C265" s="18" t="n"/>
      <c r="D265" s="19" t="n"/>
      <c r="E265" s="19" t="n"/>
      <c r="F265" s="17">
        <f>IF(OR($B265="",$D265=""),"",$D265*$E265)</f>
        <v/>
      </c>
      <c r="G265" s="12">
        <f>IF($B265="","",IF(COUNTIF(Cellar!$A$5:$A$31,$B265)=0,"NOT IN THE CELLAR","ok"))</f>
        <v/>
      </c>
    </row>
    <row r="266">
      <c r="A266" s="13" t="n"/>
      <c r="B266" s="18" t="n"/>
      <c r="C266" s="18" t="n"/>
      <c r="D266" s="19" t="n"/>
      <c r="E266" s="19" t="n"/>
      <c r="F266" s="17">
        <f>IF(OR($B266="",$D266=""),"",$D266*$E266)</f>
        <v/>
      </c>
      <c r="G266" s="12">
        <f>IF($B266="","",IF(COUNTIF(Cellar!$A$5:$A$31,$B266)=0,"NOT IN THE CELLAR","ok"))</f>
        <v/>
      </c>
    </row>
    <row r="267">
      <c r="A267" s="13" t="n"/>
      <c r="B267" s="18" t="n"/>
      <c r="C267" s="18" t="n"/>
      <c r="D267" s="19" t="n"/>
      <c r="E267" s="19" t="n"/>
      <c r="F267" s="17">
        <f>IF(OR($B267="",$D267=""),"",$D267*$E267)</f>
        <v/>
      </c>
      <c r="G267" s="12">
        <f>IF($B267="","",IF(COUNTIF(Cellar!$A$5:$A$31,$B267)=0,"NOT IN THE CELLAR","ok"))</f>
        <v/>
      </c>
    </row>
    <row r="268">
      <c r="A268" s="13" t="n"/>
      <c r="B268" s="18" t="n"/>
      <c r="C268" s="18" t="n"/>
      <c r="D268" s="19" t="n"/>
      <c r="E268" s="19" t="n"/>
      <c r="F268" s="17">
        <f>IF(OR($B268="",$D268=""),"",$D268*$E268)</f>
        <v/>
      </c>
      <c r="G268" s="12">
        <f>IF($B268="","",IF(COUNTIF(Cellar!$A$5:$A$31,$B268)=0,"NOT IN THE CELLAR","ok"))</f>
        <v/>
      </c>
    </row>
    <row r="269">
      <c r="A269" s="13" t="n"/>
      <c r="B269" s="18" t="n"/>
      <c r="C269" s="18" t="n"/>
      <c r="D269" s="19" t="n"/>
      <c r="E269" s="19" t="n"/>
      <c r="F269" s="17">
        <f>IF(OR($B269="",$D269=""),"",$D269*$E269)</f>
        <v/>
      </c>
      <c r="G269" s="12">
        <f>IF($B269="","",IF(COUNTIF(Cellar!$A$5:$A$31,$B269)=0,"NOT IN THE CELLAR","ok"))</f>
        <v/>
      </c>
    </row>
    <row r="270">
      <c r="A270" s="13" t="n"/>
      <c r="B270" s="18" t="n"/>
      <c r="C270" s="18" t="n"/>
      <c r="D270" s="19" t="n"/>
      <c r="E270" s="19" t="n"/>
      <c r="F270" s="17">
        <f>IF(OR($B270="",$D270=""),"",$D270*$E270)</f>
        <v/>
      </c>
      <c r="G270" s="12">
        <f>IF($B270="","",IF(COUNTIF(Cellar!$A$5:$A$31,$B270)=0,"NOT IN THE CELLAR","ok"))</f>
        <v/>
      </c>
    </row>
    <row r="271">
      <c r="A271" s="13" t="n"/>
      <c r="B271" s="18" t="n"/>
      <c r="C271" s="18" t="n"/>
      <c r="D271" s="19" t="n"/>
      <c r="E271" s="19" t="n"/>
      <c r="F271" s="17">
        <f>IF(OR($B271="",$D271=""),"",$D271*$E271)</f>
        <v/>
      </c>
      <c r="G271" s="12">
        <f>IF($B271="","",IF(COUNTIF(Cellar!$A$5:$A$31,$B271)=0,"NOT IN THE CELLAR","ok"))</f>
        <v/>
      </c>
    </row>
    <row r="272">
      <c r="A272" s="13" t="n"/>
      <c r="B272" s="18" t="n"/>
      <c r="C272" s="18" t="n"/>
      <c r="D272" s="19" t="n"/>
      <c r="E272" s="19" t="n"/>
      <c r="F272" s="17">
        <f>IF(OR($B272="",$D272=""),"",$D272*$E272)</f>
        <v/>
      </c>
      <c r="G272" s="12">
        <f>IF($B272="","",IF(COUNTIF(Cellar!$A$5:$A$31,$B272)=0,"NOT IN THE CELLAR","ok"))</f>
        <v/>
      </c>
    </row>
    <row r="273">
      <c r="A273" s="13" t="n"/>
      <c r="B273" s="18" t="n"/>
      <c r="C273" s="18" t="n"/>
      <c r="D273" s="19" t="n"/>
      <c r="E273" s="19" t="n"/>
      <c r="F273" s="17">
        <f>IF(OR($B273="",$D273=""),"",$D273*$E273)</f>
        <v/>
      </c>
      <c r="G273" s="12">
        <f>IF($B273="","",IF(COUNTIF(Cellar!$A$5:$A$31,$B273)=0,"NOT IN THE CELLAR","ok"))</f>
        <v/>
      </c>
    </row>
    <row r="274">
      <c r="A274" s="13" t="n"/>
      <c r="B274" s="18" t="n"/>
      <c r="C274" s="18" t="n"/>
      <c r="D274" s="19" t="n"/>
      <c r="E274" s="19" t="n"/>
      <c r="F274" s="17">
        <f>IF(OR($B274="",$D274=""),"",$D274*$E274)</f>
        <v/>
      </c>
      <c r="G274" s="12">
        <f>IF($B274="","",IF(COUNTIF(Cellar!$A$5:$A$31,$B274)=0,"NOT IN THE CELLAR","ok"))</f>
        <v/>
      </c>
    </row>
    <row r="275">
      <c r="A275" s="13" t="n"/>
      <c r="B275" s="18" t="n"/>
      <c r="C275" s="18" t="n"/>
      <c r="D275" s="19" t="n"/>
      <c r="E275" s="19" t="n"/>
      <c r="F275" s="17">
        <f>IF(OR($B275="",$D275=""),"",$D275*$E275)</f>
        <v/>
      </c>
      <c r="G275" s="12">
        <f>IF($B275="","",IF(COUNTIF(Cellar!$A$5:$A$31,$B275)=0,"NOT IN THE CELLAR","ok"))</f>
        <v/>
      </c>
    </row>
    <row r="276">
      <c r="A276" s="13" t="n"/>
      <c r="B276" s="18" t="n"/>
      <c r="C276" s="18" t="n"/>
      <c r="D276" s="19" t="n"/>
      <c r="E276" s="19" t="n"/>
      <c r="F276" s="17">
        <f>IF(OR($B276="",$D276=""),"",$D276*$E276)</f>
        <v/>
      </c>
      <c r="G276" s="12">
        <f>IF($B276="","",IF(COUNTIF(Cellar!$A$5:$A$31,$B276)=0,"NOT IN THE CELLAR","ok"))</f>
        <v/>
      </c>
    </row>
    <row r="277">
      <c r="A277" s="13" t="n"/>
      <c r="B277" s="18" t="n"/>
      <c r="C277" s="18" t="n"/>
      <c r="D277" s="19" t="n"/>
      <c r="E277" s="19" t="n"/>
      <c r="F277" s="17">
        <f>IF(OR($B277="",$D277=""),"",$D277*$E277)</f>
        <v/>
      </c>
      <c r="G277" s="12">
        <f>IF($B277="","",IF(COUNTIF(Cellar!$A$5:$A$31,$B277)=0,"NOT IN THE CELLAR","ok"))</f>
        <v/>
      </c>
    </row>
    <row r="278">
      <c r="A278" s="13" t="n"/>
      <c r="B278" s="18" t="n"/>
      <c r="C278" s="18" t="n"/>
      <c r="D278" s="19" t="n"/>
      <c r="E278" s="19" t="n"/>
      <c r="F278" s="17">
        <f>IF(OR($B278="",$D278=""),"",$D278*$E278)</f>
        <v/>
      </c>
      <c r="G278" s="12">
        <f>IF($B278="","",IF(COUNTIF(Cellar!$A$5:$A$31,$B278)=0,"NOT IN THE CELLAR","ok"))</f>
        <v/>
      </c>
    </row>
    <row r="279">
      <c r="A279" s="13" t="n"/>
      <c r="B279" s="18" t="n"/>
      <c r="C279" s="18" t="n"/>
      <c r="D279" s="19" t="n"/>
      <c r="E279" s="19" t="n"/>
      <c r="F279" s="17">
        <f>IF(OR($B279="",$D279=""),"",$D279*$E279)</f>
        <v/>
      </c>
      <c r="G279" s="12">
        <f>IF($B279="","",IF(COUNTIF(Cellar!$A$5:$A$31,$B279)=0,"NOT IN THE CELLAR","ok"))</f>
        <v/>
      </c>
    </row>
    <row r="280">
      <c r="A280" s="13" t="n"/>
      <c r="B280" s="18" t="n"/>
      <c r="C280" s="18" t="n"/>
      <c r="D280" s="19" t="n"/>
      <c r="E280" s="19" t="n"/>
      <c r="F280" s="17">
        <f>IF(OR($B280="",$D280=""),"",$D280*$E280)</f>
        <v/>
      </c>
      <c r="G280" s="12">
        <f>IF($B280="","",IF(COUNTIF(Cellar!$A$5:$A$31,$B280)=0,"NOT IN THE CELLAR","ok"))</f>
        <v/>
      </c>
    </row>
    <row r="281">
      <c r="A281" s="13" t="n"/>
      <c r="B281" s="18" t="n"/>
      <c r="C281" s="18" t="n"/>
      <c r="D281" s="19" t="n"/>
      <c r="E281" s="19" t="n"/>
      <c r="F281" s="17">
        <f>IF(OR($B281="",$D281=""),"",$D281*$E281)</f>
        <v/>
      </c>
      <c r="G281" s="12">
        <f>IF($B281="","",IF(COUNTIF(Cellar!$A$5:$A$31,$B281)=0,"NOT IN THE CELLAR","ok"))</f>
        <v/>
      </c>
    </row>
    <row r="282">
      <c r="A282" s="13" t="n"/>
      <c r="B282" s="18" t="n"/>
      <c r="C282" s="18" t="n"/>
      <c r="D282" s="19" t="n"/>
      <c r="E282" s="19" t="n"/>
      <c r="F282" s="17">
        <f>IF(OR($B282="",$D282=""),"",$D282*$E282)</f>
        <v/>
      </c>
      <c r="G282" s="12">
        <f>IF($B282="","",IF(COUNTIF(Cellar!$A$5:$A$31,$B282)=0,"NOT IN THE CELLAR","ok"))</f>
        <v/>
      </c>
    </row>
    <row r="283">
      <c r="A283" s="13" t="n"/>
      <c r="B283" s="18" t="n"/>
      <c r="C283" s="18" t="n"/>
      <c r="D283" s="19" t="n"/>
      <c r="E283" s="19" t="n"/>
      <c r="F283" s="17">
        <f>IF(OR($B283="",$D283=""),"",$D283*$E283)</f>
        <v/>
      </c>
      <c r="G283" s="12">
        <f>IF($B283="","",IF(COUNTIF(Cellar!$A$5:$A$31,$B283)=0,"NOT IN THE CELLAR","ok"))</f>
        <v/>
      </c>
    </row>
    <row r="284">
      <c r="A284" s="13" t="n"/>
      <c r="B284" s="18" t="n"/>
      <c r="C284" s="18" t="n"/>
      <c r="D284" s="19" t="n"/>
      <c r="E284" s="19" t="n"/>
      <c r="F284" s="17">
        <f>IF(OR($B284="",$D284=""),"",$D284*$E284)</f>
        <v/>
      </c>
      <c r="G284" s="12">
        <f>IF($B284="","",IF(COUNTIF(Cellar!$A$5:$A$31,$B284)=0,"NOT IN THE CELLAR","ok"))</f>
        <v/>
      </c>
    </row>
    <row r="285">
      <c r="A285" s="13" t="n"/>
      <c r="B285" s="18" t="n"/>
      <c r="C285" s="18" t="n"/>
      <c r="D285" s="19" t="n"/>
      <c r="E285" s="19" t="n"/>
      <c r="F285" s="17">
        <f>IF(OR($B285="",$D285=""),"",$D285*$E285)</f>
        <v/>
      </c>
      <c r="G285" s="12">
        <f>IF($B285="","",IF(COUNTIF(Cellar!$A$5:$A$31,$B285)=0,"NOT IN THE CELLAR","ok"))</f>
        <v/>
      </c>
    </row>
    <row r="286">
      <c r="A286" s="13" t="n"/>
      <c r="B286" s="18" t="n"/>
      <c r="C286" s="18" t="n"/>
      <c r="D286" s="19" t="n"/>
      <c r="E286" s="19" t="n"/>
      <c r="F286" s="17">
        <f>IF(OR($B286="",$D286=""),"",$D286*$E286)</f>
        <v/>
      </c>
      <c r="G286" s="12">
        <f>IF($B286="","",IF(COUNTIF(Cellar!$A$5:$A$31,$B286)=0,"NOT IN THE CELLAR","ok"))</f>
        <v/>
      </c>
    </row>
    <row r="287">
      <c r="A287" s="13" t="n"/>
      <c r="B287" s="18" t="n"/>
      <c r="C287" s="18" t="n"/>
      <c r="D287" s="19" t="n"/>
      <c r="E287" s="19" t="n"/>
      <c r="F287" s="17">
        <f>IF(OR($B287="",$D287=""),"",$D287*$E287)</f>
        <v/>
      </c>
      <c r="G287" s="12">
        <f>IF($B287="","",IF(COUNTIF(Cellar!$A$5:$A$31,$B287)=0,"NOT IN THE CELLAR","ok"))</f>
        <v/>
      </c>
    </row>
    <row r="288">
      <c r="A288" s="13" t="n"/>
      <c r="B288" s="18" t="n"/>
      <c r="C288" s="18" t="n"/>
      <c r="D288" s="19" t="n"/>
      <c r="E288" s="19" t="n"/>
      <c r="F288" s="17">
        <f>IF(OR($B288="",$D288=""),"",$D288*$E288)</f>
        <v/>
      </c>
      <c r="G288" s="12">
        <f>IF($B288="","",IF(COUNTIF(Cellar!$A$5:$A$31,$B288)=0,"NOT IN THE CELLAR","ok"))</f>
        <v/>
      </c>
    </row>
    <row r="289">
      <c r="A289" s="13" t="n"/>
      <c r="B289" s="18" t="n"/>
      <c r="C289" s="18" t="n"/>
      <c r="D289" s="19" t="n"/>
      <c r="E289" s="19" t="n"/>
      <c r="F289" s="17">
        <f>IF(OR($B289="",$D289=""),"",$D289*$E289)</f>
        <v/>
      </c>
      <c r="G289" s="12">
        <f>IF($B289="","",IF(COUNTIF(Cellar!$A$5:$A$31,$B289)=0,"NOT IN THE CELLAR","ok"))</f>
        <v/>
      </c>
    </row>
    <row r="290">
      <c r="A290" s="13" t="n"/>
      <c r="B290" s="18" t="n"/>
      <c r="C290" s="18" t="n"/>
      <c r="D290" s="19" t="n"/>
      <c r="E290" s="19" t="n"/>
      <c r="F290" s="17">
        <f>IF(OR($B290="",$D290=""),"",$D290*$E290)</f>
        <v/>
      </c>
      <c r="G290" s="12">
        <f>IF($B290="","",IF(COUNTIF(Cellar!$A$5:$A$31,$B290)=0,"NOT IN THE CELLAR","ok"))</f>
        <v/>
      </c>
    </row>
    <row r="291">
      <c r="A291" s="13" t="n"/>
      <c r="B291" s="18" t="n"/>
      <c r="C291" s="18" t="n"/>
      <c r="D291" s="19" t="n"/>
      <c r="E291" s="19" t="n"/>
      <c r="F291" s="17">
        <f>IF(OR($B291="",$D291=""),"",$D291*$E291)</f>
        <v/>
      </c>
      <c r="G291" s="12">
        <f>IF($B291="","",IF(COUNTIF(Cellar!$A$5:$A$31,$B291)=0,"NOT IN THE CELLAR","ok"))</f>
        <v/>
      </c>
    </row>
    <row r="292">
      <c r="A292" s="13" t="n"/>
      <c r="B292" s="18" t="n"/>
      <c r="C292" s="18" t="n"/>
      <c r="D292" s="19" t="n"/>
      <c r="E292" s="19" t="n"/>
      <c r="F292" s="17">
        <f>IF(OR($B292="",$D292=""),"",$D292*$E292)</f>
        <v/>
      </c>
      <c r="G292" s="12">
        <f>IF($B292="","",IF(COUNTIF(Cellar!$A$5:$A$31,$B292)=0,"NOT IN THE CELLAR","ok"))</f>
        <v/>
      </c>
    </row>
    <row r="293">
      <c r="A293" s="13" t="n"/>
      <c r="B293" s="18" t="n"/>
      <c r="C293" s="18" t="n"/>
      <c r="D293" s="19" t="n"/>
      <c r="E293" s="19" t="n"/>
      <c r="F293" s="17">
        <f>IF(OR($B293="",$D293=""),"",$D293*$E293)</f>
        <v/>
      </c>
      <c r="G293" s="12">
        <f>IF($B293="","",IF(COUNTIF(Cellar!$A$5:$A$31,$B293)=0,"NOT IN THE CELLAR","ok"))</f>
        <v/>
      </c>
    </row>
    <row r="294">
      <c r="A294" s="13" t="n"/>
      <c r="B294" s="18" t="n"/>
      <c r="C294" s="18" t="n"/>
      <c r="D294" s="19" t="n"/>
      <c r="E294" s="19" t="n"/>
      <c r="F294" s="17">
        <f>IF(OR($B294="",$D294=""),"",$D294*$E294)</f>
        <v/>
      </c>
      <c r="G294" s="12">
        <f>IF($B294="","",IF(COUNTIF(Cellar!$A$5:$A$31,$B294)=0,"NOT IN THE CELLAR","ok"))</f>
        <v/>
      </c>
    </row>
    <row r="295">
      <c r="A295" s="13" t="n"/>
      <c r="B295" s="18" t="n"/>
      <c r="C295" s="18" t="n"/>
      <c r="D295" s="19" t="n"/>
      <c r="E295" s="19" t="n"/>
      <c r="F295" s="17">
        <f>IF(OR($B295="",$D295=""),"",$D295*$E295)</f>
        <v/>
      </c>
      <c r="G295" s="12">
        <f>IF($B295="","",IF(COUNTIF(Cellar!$A$5:$A$31,$B295)=0,"NOT IN THE CELLAR","ok"))</f>
        <v/>
      </c>
    </row>
    <row r="296">
      <c r="A296" s="13" t="n"/>
      <c r="B296" s="18" t="n"/>
      <c r="C296" s="18" t="n"/>
      <c r="D296" s="19" t="n"/>
      <c r="E296" s="19" t="n"/>
      <c r="F296" s="17">
        <f>IF(OR($B296="",$D296=""),"",$D296*$E296)</f>
        <v/>
      </c>
      <c r="G296" s="12">
        <f>IF($B296="","",IF(COUNTIF(Cellar!$A$5:$A$31,$B296)=0,"NOT IN THE CELLAR","ok"))</f>
        <v/>
      </c>
    </row>
    <row r="297">
      <c r="A297" s="13" t="n"/>
      <c r="B297" s="18" t="n"/>
      <c r="C297" s="18" t="n"/>
      <c r="D297" s="19" t="n"/>
      <c r="E297" s="19" t="n"/>
      <c r="F297" s="17">
        <f>IF(OR($B297="",$D297=""),"",$D297*$E297)</f>
        <v/>
      </c>
      <c r="G297" s="12">
        <f>IF($B297="","",IF(COUNTIF(Cellar!$A$5:$A$31,$B297)=0,"NOT IN THE CELLAR","ok"))</f>
        <v/>
      </c>
    </row>
    <row r="298">
      <c r="A298" s="13" t="n"/>
      <c r="B298" s="18" t="n"/>
      <c r="C298" s="18" t="n"/>
      <c r="D298" s="19" t="n"/>
      <c r="E298" s="19" t="n"/>
      <c r="F298" s="17">
        <f>IF(OR($B298="",$D298=""),"",$D298*$E298)</f>
        <v/>
      </c>
      <c r="G298" s="12">
        <f>IF($B298="","",IF(COUNTIF(Cellar!$A$5:$A$31,$B298)=0,"NOT IN THE CELLAR","ok"))</f>
        <v/>
      </c>
    </row>
    <row r="299">
      <c r="A299" s="13" t="n"/>
      <c r="B299" s="18" t="n"/>
      <c r="C299" s="18" t="n"/>
      <c r="D299" s="19" t="n"/>
      <c r="E299" s="19" t="n"/>
      <c r="F299" s="17">
        <f>IF(OR($B299="",$D299=""),"",$D299*$E299)</f>
        <v/>
      </c>
      <c r="G299" s="12">
        <f>IF($B299="","",IF(COUNTIF(Cellar!$A$5:$A$31,$B299)=0,"NOT IN THE CELLAR","ok"))</f>
        <v/>
      </c>
    </row>
    <row r="300">
      <c r="A300" s="13" t="n"/>
      <c r="B300" s="18" t="n"/>
      <c r="C300" s="18" t="n"/>
      <c r="D300" s="19" t="n"/>
      <c r="E300" s="19" t="n"/>
      <c r="F300" s="17">
        <f>IF(OR($B300="",$D300=""),"",$D300*$E300)</f>
        <v/>
      </c>
      <c r="G300" s="12">
        <f>IF($B300="","",IF(COUNTIF(Cellar!$A$5:$A$31,$B300)=0,"NOT IN THE CELLAR","ok"))</f>
        <v/>
      </c>
    </row>
    <row r="301">
      <c r="A301" s="13" t="n"/>
      <c r="B301" s="18" t="n"/>
      <c r="C301" s="18" t="n"/>
      <c r="D301" s="19" t="n"/>
      <c r="E301" s="19" t="n"/>
      <c r="F301" s="17">
        <f>IF(OR($B301="",$D301=""),"",$D301*$E301)</f>
        <v/>
      </c>
      <c r="G301" s="12">
        <f>IF($B301="","",IF(COUNTIF(Cellar!$A$5:$A$31,$B301)=0,"NOT IN THE CELLAR","ok"))</f>
        <v/>
      </c>
    </row>
    <row r="302">
      <c r="A302" s="13" t="n"/>
      <c r="B302" s="18" t="n"/>
      <c r="C302" s="18" t="n"/>
      <c r="D302" s="19" t="n"/>
      <c r="E302" s="19" t="n"/>
      <c r="F302" s="17">
        <f>IF(OR($B302="",$D302=""),"",$D302*$E302)</f>
        <v/>
      </c>
      <c r="G302" s="12">
        <f>IF($B302="","",IF(COUNTIF(Cellar!$A$5:$A$31,$B302)=0,"NOT IN THE CELLAR","ok"))</f>
        <v/>
      </c>
    </row>
    <row r="303">
      <c r="A303" s="13" t="n"/>
      <c r="B303" s="18" t="n"/>
      <c r="C303" s="18" t="n"/>
      <c r="D303" s="19" t="n"/>
      <c r="E303" s="19" t="n"/>
      <c r="F303" s="17">
        <f>IF(OR($B303="",$D303=""),"",$D303*$E303)</f>
        <v/>
      </c>
      <c r="G303" s="12">
        <f>IF($B303="","",IF(COUNTIF(Cellar!$A$5:$A$31,$B303)=0,"NOT IN THE CELLAR","ok"))</f>
        <v/>
      </c>
    </row>
    <row r="304">
      <c r="A304" s="13" t="n"/>
      <c r="B304" s="18" t="n"/>
      <c r="C304" s="18" t="n"/>
      <c r="D304" s="19" t="n"/>
      <c r="E304" s="19" t="n"/>
      <c r="F304" s="17">
        <f>IF(OR($B304="",$D304=""),"",$D304*$E304)</f>
        <v/>
      </c>
      <c r="G304" s="12">
        <f>IF($B304="","",IF(COUNTIF(Cellar!$A$5:$A$31,$B304)=0,"NOT IN THE CELLAR","ok"))</f>
        <v/>
      </c>
    </row>
    <row r="305">
      <c r="A305" s="13" t="n"/>
      <c r="B305" s="18" t="n"/>
      <c r="C305" s="18" t="n"/>
      <c r="D305" s="19" t="n"/>
      <c r="E305" s="19" t="n"/>
      <c r="F305" s="17">
        <f>IF(OR($B305="",$D305=""),"",$D305*$E305)</f>
        <v/>
      </c>
      <c r="G305" s="12">
        <f>IF($B305="","",IF(COUNTIF(Cellar!$A$5:$A$31,$B305)=0,"NOT IN THE CELLAR","ok"))</f>
        <v/>
      </c>
    </row>
    <row r="306">
      <c r="A306" s="13" t="n"/>
      <c r="B306" s="18" t="n"/>
      <c r="C306" s="18" t="n"/>
      <c r="D306" s="19" t="n"/>
      <c r="E306" s="19" t="n"/>
      <c r="F306" s="17">
        <f>IF(OR($B306="",$D306=""),"",$D306*$E306)</f>
        <v/>
      </c>
      <c r="G306" s="12">
        <f>IF($B306="","",IF(COUNTIF(Cellar!$A$5:$A$31,$B306)=0,"NOT IN THE CELLAR","ok"))</f>
        <v/>
      </c>
    </row>
    <row r="307">
      <c r="A307" s="13" t="n"/>
      <c r="B307" s="18" t="n"/>
      <c r="C307" s="18" t="n"/>
      <c r="D307" s="19" t="n"/>
      <c r="E307" s="19" t="n"/>
      <c r="F307" s="17">
        <f>IF(OR($B307="",$D307=""),"",$D307*$E307)</f>
        <v/>
      </c>
      <c r="G307" s="12">
        <f>IF($B307="","",IF(COUNTIF(Cellar!$A$5:$A$31,$B307)=0,"NOT IN THE CELLAR","ok"))</f>
        <v/>
      </c>
    </row>
    <row r="308">
      <c r="A308" s="13" t="n"/>
      <c r="B308" s="18" t="n"/>
      <c r="C308" s="18" t="n"/>
      <c r="D308" s="19" t="n"/>
      <c r="E308" s="19" t="n"/>
      <c r="F308" s="17">
        <f>IF(OR($B308="",$D308=""),"",$D308*$E308)</f>
        <v/>
      </c>
      <c r="G308" s="12">
        <f>IF($B308="","",IF(COUNTIF(Cellar!$A$5:$A$31,$B308)=0,"NOT IN THE CELLAR","ok"))</f>
        <v/>
      </c>
    </row>
    <row r="309">
      <c r="A309" s="13" t="n"/>
      <c r="B309" s="18" t="n"/>
      <c r="C309" s="18" t="n"/>
      <c r="D309" s="19" t="n"/>
      <c r="E309" s="19" t="n"/>
      <c r="F309" s="17">
        <f>IF(OR($B309="",$D309=""),"",$D309*$E309)</f>
        <v/>
      </c>
      <c r="G309" s="12">
        <f>IF($B309="","",IF(COUNTIF(Cellar!$A$5:$A$31,$B309)=0,"NOT IN THE CELLAR","ok"))</f>
        <v/>
      </c>
    </row>
    <row r="310">
      <c r="A310" s="13" t="n"/>
      <c r="B310" s="18" t="n"/>
      <c r="C310" s="18" t="n"/>
      <c r="D310" s="19" t="n"/>
      <c r="E310" s="19" t="n"/>
      <c r="F310" s="17">
        <f>IF(OR($B310="",$D310=""),"",$D310*$E310)</f>
        <v/>
      </c>
      <c r="G310" s="12">
        <f>IF($B310="","",IF(COUNTIF(Cellar!$A$5:$A$31,$B310)=0,"NOT IN THE CELLAR","ok"))</f>
        <v/>
      </c>
    </row>
    <row r="311">
      <c r="A311" s="13" t="n"/>
      <c r="B311" s="18" t="n"/>
      <c r="C311" s="18" t="n"/>
      <c r="D311" s="19" t="n"/>
      <c r="E311" s="19" t="n"/>
      <c r="F311" s="17">
        <f>IF(OR($B311="",$D311=""),"",$D311*$E311)</f>
        <v/>
      </c>
      <c r="G311" s="12">
        <f>IF($B311="","",IF(COUNTIF(Cellar!$A$5:$A$31,$B311)=0,"NOT IN THE CELLAR","ok"))</f>
        <v/>
      </c>
    </row>
    <row r="312">
      <c r="A312" s="13" t="n"/>
      <c r="B312" s="18" t="n"/>
      <c r="C312" s="18" t="n"/>
      <c r="D312" s="19" t="n"/>
      <c r="E312" s="19" t="n"/>
      <c r="F312" s="17">
        <f>IF(OR($B312="",$D312=""),"",$D312*$E312)</f>
        <v/>
      </c>
      <c r="G312" s="12">
        <f>IF($B312="","",IF(COUNTIF(Cellar!$A$5:$A$31,$B312)=0,"NOT IN THE CELLAR","ok"))</f>
        <v/>
      </c>
    </row>
    <row r="313">
      <c r="A313" s="13" t="n"/>
      <c r="B313" s="18" t="n"/>
      <c r="C313" s="18" t="n"/>
      <c r="D313" s="19" t="n"/>
      <c r="E313" s="19" t="n"/>
      <c r="F313" s="17">
        <f>IF(OR($B313="",$D313=""),"",$D313*$E313)</f>
        <v/>
      </c>
      <c r="G313" s="12">
        <f>IF($B313="","",IF(COUNTIF(Cellar!$A$5:$A$31,$B313)=0,"NOT IN THE CELLAR","ok"))</f>
        <v/>
      </c>
    </row>
    <row r="314">
      <c r="A314" s="13" t="n"/>
      <c r="B314" s="18" t="n"/>
      <c r="C314" s="18" t="n"/>
      <c r="D314" s="19" t="n"/>
      <c r="E314" s="19" t="n"/>
      <c r="F314" s="17">
        <f>IF(OR($B314="",$D314=""),"",$D314*$E314)</f>
        <v/>
      </c>
      <c r="G314" s="12">
        <f>IF($B314="","",IF(COUNTIF(Cellar!$A$5:$A$31,$B314)=0,"NOT IN THE CELLAR","ok"))</f>
        <v/>
      </c>
    </row>
    <row r="315">
      <c r="A315" s="13" t="n"/>
      <c r="B315" s="18" t="n"/>
      <c r="C315" s="18" t="n"/>
      <c r="D315" s="19" t="n"/>
      <c r="E315" s="19" t="n"/>
      <c r="F315" s="17">
        <f>IF(OR($B315="",$D315=""),"",$D315*$E315)</f>
        <v/>
      </c>
      <c r="G315" s="12">
        <f>IF($B315="","",IF(COUNTIF(Cellar!$A$5:$A$31,$B315)=0,"NOT IN THE CELLAR","ok"))</f>
        <v/>
      </c>
    </row>
    <row r="316">
      <c r="A316" s="13" t="n"/>
      <c r="B316" s="18" t="n"/>
      <c r="C316" s="18" t="n"/>
      <c r="D316" s="19" t="n"/>
      <c r="E316" s="19" t="n"/>
      <c r="F316" s="17">
        <f>IF(OR($B316="",$D316=""),"",$D316*$E316)</f>
        <v/>
      </c>
      <c r="G316" s="12">
        <f>IF($B316="","",IF(COUNTIF(Cellar!$A$5:$A$31,$B316)=0,"NOT IN THE CELLAR","ok"))</f>
        <v/>
      </c>
    </row>
    <row r="317">
      <c r="A317" s="13" t="n"/>
      <c r="B317" s="18" t="n"/>
      <c r="C317" s="18" t="n"/>
      <c r="D317" s="19" t="n"/>
      <c r="E317" s="19" t="n"/>
      <c r="F317" s="17">
        <f>IF(OR($B317="",$D317=""),"",$D317*$E317)</f>
        <v/>
      </c>
      <c r="G317" s="12">
        <f>IF($B317="","",IF(COUNTIF(Cellar!$A$5:$A$31,$B317)=0,"NOT IN THE CELLAR","ok"))</f>
        <v/>
      </c>
    </row>
    <row r="318">
      <c r="A318" s="13" t="n"/>
      <c r="B318" s="18" t="n"/>
      <c r="C318" s="18" t="n"/>
      <c r="D318" s="19" t="n"/>
      <c r="E318" s="19" t="n"/>
      <c r="F318" s="17">
        <f>IF(OR($B318="",$D318=""),"",$D318*$E318)</f>
        <v/>
      </c>
      <c r="G318" s="12">
        <f>IF($B318="","",IF(COUNTIF(Cellar!$A$5:$A$31,$B318)=0,"NOT IN THE CELLAR","ok"))</f>
        <v/>
      </c>
    </row>
    <row r="319">
      <c r="A319" s="13" t="n"/>
      <c r="B319" s="18" t="n"/>
      <c r="C319" s="18" t="n"/>
      <c r="D319" s="19" t="n"/>
      <c r="E319" s="19" t="n"/>
      <c r="F319" s="17">
        <f>IF(OR($B319="",$D319=""),"",$D319*$E319)</f>
        <v/>
      </c>
      <c r="G319" s="12">
        <f>IF($B319="","",IF(COUNTIF(Cellar!$A$5:$A$31,$B319)=0,"NOT IN THE CELLAR","ok"))</f>
        <v/>
      </c>
    </row>
    <row r="320">
      <c r="A320" s="13" t="n"/>
      <c r="B320" s="18" t="n"/>
      <c r="C320" s="18" t="n"/>
      <c r="D320" s="19" t="n"/>
      <c r="E320" s="19" t="n"/>
      <c r="F320" s="17">
        <f>IF(OR($B320="",$D320=""),"",$D320*$E320)</f>
        <v/>
      </c>
      <c r="G320" s="12">
        <f>IF($B320="","",IF(COUNTIF(Cellar!$A$5:$A$31,$B320)=0,"NOT IN THE CELLAR","ok"))</f>
        <v/>
      </c>
    </row>
    <row r="321">
      <c r="A321" s="13" t="n"/>
      <c r="B321" s="18" t="n"/>
      <c r="C321" s="18" t="n"/>
      <c r="D321" s="19" t="n"/>
      <c r="E321" s="19" t="n"/>
      <c r="F321" s="17">
        <f>IF(OR($B321="",$D321=""),"",$D321*$E321)</f>
        <v/>
      </c>
      <c r="G321" s="12">
        <f>IF($B321="","",IF(COUNTIF(Cellar!$A$5:$A$31,$B321)=0,"NOT IN THE CELLAR","ok"))</f>
        <v/>
      </c>
    </row>
    <row r="322">
      <c r="A322" s="13" t="n"/>
      <c r="B322" s="18" t="n"/>
      <c r="C322" s="18" t="n"/>
      <c r="D322" s="19" t="n"/>
      <c r="E322" s="19" t="n"/>
      <c r="F322" s="17">
        <f>IF(OR($B322="",$D322=""),"",$D322*$E322)</f>
        <v/>
      </c>
      <c r="G322" s="12">
        <f>IF($B322="","",IF(COUNTIF(Cellar!$A$5:$A$31,$B322)=0,"NOT IN THE CELLAR","ok"))</f>
        <v/>
      </c>
    </row>
    <row r="323">
      <c r="A323" s="13" t="n"/>
      <c r="B323" s="18" t="n"/>
      <c r="C323" s="18" t="n"/>
      <c r="D323" s="19" t="n"/>
      <c r="E323" s="19" t="n"/>
      <c r="F323" s="17">
        <f>IF(OR($B323="",$D323=""),"",$D323*$E323)</f>
        <v/>
      </c>
      <c r="G323" s="12">
        <f>IF($B323="","",IF(COUNTIF(Cellar!$A$5:$A$31,$B323)=0,"NOT IN THE CELLAR","ok"))</f>
        <v/>
      </c>
    </row>
    <row r="324">
      <c r="A324" s="13" t="n"/>
      <c r="B324" s="18" t="n"/>
      <c r="C324" s="18" t="n"/>
      <c r="D324" s="19" t="n"/>
      <c r="E324" s="19" t="n"/>
      <c r="F324" s="17">
        <f>IF(OR($B324="",$D324=""),"",$D324*$E324)</f>
        <v/>
      </c>
      <c r="G324" s="12">
        <f>IF($B324="","",IF(COUNTIF(Cellar!$A$5:$A$31,$B324)=0,"NOT IN THE CELLAR","ok"))</f>
        <v/>
      </c>
    </row>
    <row r="325">
      <c r="A325" s="13" t="n"/>
      <c r="B325" s="18" t="n"/>
      <c r="C325" s="18" t="n"/>
      <c r="D325" s="19" t="n"/>
      <c r="E325" s="19" t="n"/>
      <c r="F325" s="17">
        <f>IF(OR($B325="",$D325=""),"",$D325*$E325)</f>
        <v/>
      </c>
      <c r="G325" s="12">
        <f>IF($B325="","",IF(COUNTIF(Cellar!$A$5:$A$31,$B325)=0,"NOT IN THE CELLAR","ok"))</f>
        <v/>
      </c>
    </row>
    <row r="326">
      <c r="A326" s="13" t="n"/>
      <c r="B326" s="18" t="n"/>
      <c r="C326" s="18" t="n"/>
      <c r="D326" s="19" t="n"/>
      <c r="E326" s="19" t="n"/>
      <c r="F326" s="17">
        <f>IF(OR($B326="",$D326=""),"",$D326*$E326)</f>
        <v/>
      </c>
      <c r="G326" s="12">
        <f>IF($B326="","",IF(COUNTIF(Cellar!$A$5:$A$31,$B326)=0,"NOT IN THE CELLAR","ok"))</f>
        <v/>
      </c>
    </row>
    <row r="327">
      <c r="A327" s="13" t="n"/>
      <c r="B327" s="18" t="n"/>
      <c r="C327" s="18" t="n"/>
      <c r="D327" s="19" t="n"/>
      <c r="E327" s="19" t="n"/>
      <c r="F327" s="17">
        <f>IF(OR($B327="",$D327=""),"",$D327*$E327)</f>
        <v/>
      </c>
      <c r="G327" s="12">
        <f>IF($B327="","",IF(COUNTIF(Cellar!$A$5:$A$31,$B327)=0,"NOT IN THE CELLAR","ok"))</f>
        <v/>
      </c>
    </row>
    <row r="328">
      <c r="A328" s="13" t="n"/>
      <c r="B328" s="18" t="n"/>
      <c r="C328" s="18" t="n"/>
      <c r="D328" s="19" t="n"/>
      <c r="E328" s="19" t="n"/>
      <c r="F328" s="17">
        <f>IF(OR($B328="",$D328=""),"",$D328*$E328)</f>
        <v/>
      </c>
      <c r="G328" s="12">
        <f>IF($B328="","",IF(COUNTIF(Cellar!$A$5:$A$31,$B328)=0,"NOT IN THE CELLAR","ok"))</f>
        <v/>
      </c>
    </row>
    <row r="329">
      <c r="A329" s="13" t="n"/>
      <c r="B329" s="18" t="n"/>
      <c r="C329" s="18" t="n"/>
      <c r="D329" s="19" t="n"/>
      <c r="E329" s="19" t="n"/>
      <c r="F329" s="17">
        <f>IF(OR($B329="",$D329=""),"",$D329*$E329)</f>
        <v/>
      </c>
      <c r="G329" s="12">
        <f>IF($B329="","",IF(COUNTIF(Cellar!$A$5:$A$31,$B329)=0,"NOT IN THE CELLAR","ok"))</f>
        <v/>
      </c>
    </row>
    <row r="330">
      <c r="A330" s="13" t="n"/>
      <c r="B330" s="18" t="n"/>
      <c r="C330" s="18" t="n"/>
      <c r="D330" s="19" t="n"/>
      <c r="E330" s="19" t="n"/>
      <c r="F330" s="17">
        <f>IF(OR($B330="",$D330=""),"",$D330*$E330)</f>
        <v/>
      </c>
      <c r="G330" s="12">
        <f>IF($B330="","",IF(COUNTIF(Cellar!$A$5:$A$31,$B330)=0,"NOT IN THE CELLAR","ok"))</f>
        <v/>
      </c>
    </row>
    <row r="331">
      <c r="A331" s="13" t="n"/>
      <c r="B331" s="18" t="n"/>
      <c r="C331" s="18" t="n"/>
      <c r="D331" s="19" t="n"/>
      <c r="E331" s="19" t="n"/>
      <c r="F331" s="17">
        <f>IF(OR($B331="",$D331=""),"",$D331*$E331)</f>
        <v/>
      </c>
      <c r="G331" s="12">
        <f>IF($B331="","",IF(COUNTIF(Cellar!$A$5:$A$31,$B331)=0,"NOT IN THE CELLAR","ok"))</f>
        <v/>
      </c>
    </row>
    <row r="332">
      <c r="A332" s="13" t="n"/>
      <c r="B332" s="18" t="n"/>
      <c r="C332" s="18" t="n"/>
      <c r="D332" s="19" t="n"/>
      <c r="E332" s="19" t="n"/>
      <c r="F332" s="17">
        <f>IF(OR($B332="",$D332=""),"",$D332*$E332)</f>
        <v/>
      </c>
      <c r="G332" s="12">
        <f>IF($B332="","",IF(COUNTIF(Cellar!$A$5:$A$31,$B332)=0,"NOT IN THE CELLAR","ok"))</f>
        <v/>
      </c>
    </row>
    <row r="333">
      <c r="A333" s="13" t="n"/>
      <c r="B333" s="18" t="n"/>
      <c r="C333" s="18" t="n"/>
      <c r="D333" s="19" t="n"/>
      <c r="E333" s="19" t="n"/>
      <c r="F333" s="17">
        <f>IF(OR($B333="",$D333=""),"",$D333*$E333)</f>
        <v/>
      </c>
      <c r="G333" s="12">
        <f>IF($B333="","",IF(COUNTIF(Cellar!$A$5:$A$31,$B333)=0,"NOT IN THE CELLAR","ok"))</f>
        <v/>
      </c>
    </row>
    <row r="334">
      <c r="A334" s="13" t="n"/>
      <c r="B334" s="18" t="n"/>
      <c r="C334" s="18" t="n"/>
      <c r="D334" s="19" t="n"/>
      <c r="E334" s="19" t="n"/>
      <c r="F334" s="17">
        <f>IF(OR($B334="",$D334=""),"",$D334*$E334)</f>
        <v/>
      </c>
      <c r="G334" s="12">
        <f>IF($B334="","",IF(COUNTIF(Cellar!$A$5:$A$31,$B334)=0,"NOT IN THE CELLAR","ok"))</f>
        <v/>
      </c>
    </row>
    <row r="335">
      <c r="A335" s="13" t="n"/>
      <c r="B335" s="18" t="n"/>
      <c r="C335" s="18" t="n"/>
      <c r="D335" s="19" t="n"/>
      <c r="E335" s="19" t="n"/>
      <c r="F335" s="17">
        <f>IF(OR($B335="",$D335=""),"",$D335*$E335)</f>
        <v/>
      </c>
      <c r="G335" s="12">
        <f>IF($B335="","",IF(COUNTIF(Cellar!$A$5:$A$31,$B335)=0,"NOT IN THE CELLAR","ok"))</f>
        <v/>
      </c>
    </row>
    <row r="336">
      <c r="A336" s="13" t="n"/>
      <c r="B336" s="18" t="n"/>
      <c r="C336" s="18" t="n"/>
      <c r="D336" s="19" t="n"/>
      <c r="E336" s="19" t="n"/>
      <c r="F336" s="17">
        <f>IF(OR($B336="",$D336=""),"",$D336*$E336)</f>
        <v/>
      </c>
      <c r="G336" s="12">
        <f>IF($B336="","",IF(COUNTIF(Cellar!$A$5:$A$31,$B336)=0,"NOT IN THE CELLAR","ok"))</f>
        <v/>
      </c>
    </row>
    <row r="337">
      <c r="A337" s="13" t="n"/>
      <c r="B337" s="18" t="n"/>
      <c r="C337" s="18" t="n"/>
      <c r="D337" s="19" t="n"/>
      <c r="E337" s="19" t="n"/>
      <c r="F337" s="17">
        <f>IF(OR($B337="",$D337=""),"",$D337*$E337)</f>
        <v/>
      </c>
      <c r="G337" s="12">
        <f>IF($B337="","",IF(COUNTIF(Cellar!$A$5:$A$31,$B337)=0,"NOT IN THE CELLAR","ok"))</f>
        <v/>
      </c>
    </row>
    <row r="338">
      <c r="A338" s="13" t="n"/>
      <c r="B338" s="18" t="n"/>
      <c r="C338" s="18" t="n"/>
      <c r="D338" s="19" t="n"/>
      <c r="E338" s="19" t="n"/>
      <c r="F338" s="17">
        <f>IF(OR($B338="",$D338=""),"",$D338*$E338)</f>
        <v/>
      </c>
      <c r="G338" s="12">
        <f>IF($B338="","",IF(COUNTIF(Cellar!$A$5:$A$31,$B338)=0,"NOT IN THE CELLAR","ok"))</f>
        <v/>
      </c>
    </row>
    <row r="339">
      <c r="A339" s="13" t="n"/>
      <c r="B339" s="18" t="n"/>
      <c r="C339" s="18" t="n"/>
      <c r="D339" s="19" t="n"/>
      <c r="E339" s="19" t="n"/>
      <c r="F339" s="17">
        <f>IF(OR($B339="",$D339=""),"",$D339*$E339)</f>
        <v/>
      </c>
      <c r="G339" s="12">
        <f>IF($B339="","",IF(COUNTIF(Cellar!$A$5:$A$31,$B339)=0,"NOT IN THE CELLAR","ok"))</f>
        <v/>
      </c>
    </row>
    <row r="340">
      <c r="A340" s="13" t="n"/>
      <c r="B340" s="18" t="n"/>
      <c r="C340" s="18" t="n"/>
      <c r="D340" s="19" t="n"/>
      <c r="E340" s="19" t="n"/>
      <c r="F340" s="17">
        <f>IF(OR($B340="",$D340=""),"",$D340*$E340)</f>
        <v/>
      </c>
      <c r="G340" s="12">
        <f>IF($B340="","",IF(COUNTIF(Cellar!$A$5:$A$31,$B340)=0,"NOT IN THE CELLAR","ok"))</f>
        <v/>
      </c>
    </row>
    <row r="341">
      <c r="A341" s="13" t="n"/>
      <c r="B341" s="18" t="n"/>
      <c r="C341" s="18" t="n"/>
      <c r="D341" s="19" t="n"/>
      <c r="E341" s="19" t="n"/>
      <c r="F341" s="17">
        <f>IF(OR($B341="",$D341=""),"",$D341*$E341)</f>
        <v/>
      </c>
      <c r="G341" s="12">
        <f>IF($B341="","",IF(COUNTIF(Cellar!$A$5:$A$31,$B341)=0,"NOT IN THE CELLAR","ok"))</f>
        <v/>
      </c>
    </row>
    <row r="342">
      <c r="A342" s="13" t="n"/>
      <c r="B342" s="18" t="n"/>
      <c r="C342" s="18" t="n"/>
      <c r="D342" s="19" t="n"/>
      <c r="E342" s="19" t="n"/>
      <c r="F342" s="17">
        <f>IF(OR($B342="",$D342=""),"",$D342*$E342)</f>
        <v/>
      </c>
      <c r="G342" s="12">
        <f>IF($B342="","",IF(COUNTIF(Cellar!$A$5:$A$31,$B342)=0,"NOT IN THE CELLAR","ok"))</f>
        <v/>
      </c>
    </row>
    <row r="343">
      <c r="A343" s="13" t="n"/>
      <c r="B343" s="18" t="n"/>
      <c r="C343" s="18" t="n"/>
      <c r="D343" s="19" t="n"/>
      <c r="E343" s="19" t="n"/>
      <c r="F343" s="17">
        <f>IF(OR($B343="",$D343=""),"",$D343*$E343)</f>
        <v/>
      </c>
      <c r="G343" s="12">
        <f>IF($B343="","",IF(COUNTIF(Cellar!$A$5:$A$31,$B343)=0,"NOT IN THE CELLAR","ok"))</f>
        <v/>
      </c>
    </row>
    <row r="344">
      <c r="A344" s="13" t="n"/>
      <c r="B344" s="18" t="n"/>
      <c r="C344" s="18" t="n"/>
      <c r="D344" s="19" t="n"/>
      <c r="E344" s="19" t="n"/>
      <c r="F344" s="17">
        <f>IF(OR($B344="",$D344=""),"",$D344*$E344)</f>
        <v/>
      </c>
      <c r="G344" s="12">
        <f>IF($B344="","",IF(COUNTIF(Cellar!$A$5:$A$31,$B344)=0,"NOT IN THE CELLAR","ok"))</f>
        <v/>
      </c>
    </row>
    <row r="345">
      <c r="A345" s="13" t="n"/>
      <c r="B345" s="18" t="n"/>
      <c r="C345" s="18" t="n"/>
      <c r="D345" s="19" t="n"/>
      <c r="E345" s="19" t="n"/>
      <c r="F345" s="17">
        <f>IF(OR($B345="",$D345=""),"",$D345*$E345)</f>
        <v/>
      </c>
      <c r="G345" s="12">
        <f>IF($B345="","",IF(COUNTIF(Cellar!$A$5:$A$31,$B345)=0,"NOT IN THE CELLAR","ok"))</f>
        <v/>
      </c>
    </row>
    <row r="346">
      <c r="A346" s="13" t="n"/>
      <c r="B346" s="18" t="n"/>
      <c r="C346" s="18" t="n"/>
      <c r="D346" s="19" t="n"/>
      <c r="E346" s="19" t="n"/>
      <c r="F346" s="17">
        <f>IF(OR($B346="",$D346=""),"",$D346*$E346)</f>
        <v/>
      </c>
      <c r="G346" s="12">
        <f>IF($B346="","",IF(COUNTIF(Cellar!$A$5:$A$31,$B346)=0,"NOT IN THE CELLAR","ok"))</f>
        <v/>
      </c>
    </row>
    <row r="347">
      <c r="A347" s="13" t="n"/>
      <c r="B347" s="18" t="n"/>
      <c r="C347" s="18" t="n"/>
      <c r="D347" s="19" t="n"/>
      <c r="E347" s="19" t="n"/>
      <c r="F347" s="17">
        <f>IF(OR($B347="",$D347=""),"",$D347*$E347)</f>
        <v/>
      </c>
      <c r="G347" s="12">
        <f>IF($B347="","",IF(COUNTIF(Cellar!$A$5:$A$31,$B347)=0,"NOT IN THE CELLAR","ok"))</f>
        <v/>
      </c>
    </row>
    <row r="348">
      <c r="A348" s="13" t="n"/>
      <c r="B348" s="18" t="n"/>
      <c r="C348" s="18" t="n"/>
      <c r="D348" s="19" t="n"/>
      <c r="E348" s="19" t="n"/>
      <c r="F348" s="17">
        <f>IF(OR($B348="",$D348=""),"",$D348*$E348)</f>
        <v/>
      </c>
      <c r="G348" s="12">
        <f>IF($B348="","",IF(COUNTIF(Cellar!$A$5:$A$31,$B348)=0,"NOT IN THE CELLAR","ok"))</f>
        <v/>
      </c>
    </row>
    <row r="349">
      <c r="A349" s="13" t="n"/>
      <c r="B349" s="18" t="n"/>
      <c r="C349" s="18" t="n"/>
      <c r="D349" s="19" t="n"/>
      <c r="E349" s="19" t="n"/>
      <c r="F349" s="17">
        <f>IF(OR($B349="",$D349=""),"",$D349*$E349)</f>
        <v/>
      </c>
      <c r="G349" s="12">
        <f>IF($B349="","",IF(COUNTIF(Cellar!$A$5:$A$31,$B349)=0,"NOT IN THE CELLAR","ok"))</f>
        <v/>
      </c>
    </row>
    <row r="350">
      <c r="A350" s="13" t="n"/>
      <c r="B350" s="18" t="n"/>
      <c r="C350" s="18" t="n"/>
      <c r="D350" s="19" t="n"/>
      <c r="E350" s="19" t="n"/>
      <c r="F350" s="17">
        <f>IF(OR($B350="",$D350=""),"",$D350*$E350)</f>
        <v/>
      </c>
      <c r="G350" s="12">
        <f>IF($B350="","",IF(COUNTIF(Cellar!$A$5:$A$31,$B350)=0,"NOT IN THE CELLAR","ok"))</f>
        <v/>
      </c>
    </row>
    <row r="351">
      <c r="A351" s="13" t="n"/>
      <c r="B351" s="18" t="n"/>
      <c r="C351" s="18" t="n"/>
      <c r="D351" s="19" t="n"/>
      <c r="E351" s="19" t="n"/>
      <c r="F351" s="17">
        <f>IF(OR($B351="",$D351=""),"",$D351*$E351)</f>
        <v/>
      </c>
      <c r="G351" s="12">
        <f>IF($B351="","",IF(COUNTIF(Cellar!$A$5:$A$31,$B351)=0,"NOT IN THE CELLAR","ok"))</f>
        <v/>
      </c>
    </row>
    <row r="352">
      <c r="A352" s="13" t="n"/>
      <c r="B352" s="18" t="n"/>
      <c r="C352" s="18" t="n"/>
      <c r="D352" s="19" t="n"/>
      <c r="E352" s="19" t="n"/>
      <c r="F352" s="17">
        <f>IF(OR($B352="",$D352=""),"",$D352*$E352)</f>
        <v/>
      </c>
      <c r="G352" s="12">
        <f>IF($B352="","",IF(COUNTIF(Cellar!$A$5:$A$31,$B352)=0,"NOT IN THE CELLAR","ok"))</f>
        <v/>
      </c>
    </row>
    <row r="353">
      <c r="A353" s="13" t="n"/>
      <c r="B353" s="18" t="n"/>
      <c r="C353" s="18" t="n"/>
      <c r="D353" s="19" t="n"/>
      <c r="E353" s="19" t="n"/>
      <c r="F353" s="17">
        <f>IF(OR($B353="",$D353=""),"",$D353*$E353)</f>
        <v/>
      </c>
      <c r="G353" s="12">
        <f>IF($B353="","",IF(COUNTIF(Cellar!$A$5:$A$31,$B353)=0,"NOT IN THE CELLAR","ok"))</f>
        <v/>
      </c>
    </row>
    <row r="354">
      <c r="A354" s="13" t="n"/>
      <c r="B354" s="18" t="n"/>
      <c r="C354" s="18" t="n"/>
      <c r="D354" s="19" t="n"/>
      <c r="E354" s="19" t="n"/>
      <c r="F354" s="17">
        <f>IF(OR($B354="",$D354=""),"",$D354*$E354)</f>
        <v/>
      </c>
      <c r="G354" s="12">
        <f>IF($B354="","",IF(COUNTIF(Cellar!$A$5:$A$31,$B354)=0,"NOT IN THE CELLAR","ok"))</f>
        <v/>
      </c>
    </row>
    <row r="355">
      <c r="A355" s="13" t="n"/>
      <c r="B355" s="18" t="n"/>
      <c r="C355" s="18" t="n"/>
      <c r="D355" s="19" t="n"/>
      <c r="E355" s="19" t="n"/>
      <c r="F355" s="17">
        <f>IF(OR($B355="",$D355=""),"",$D355*$E355)</f>
        <v/>
      </c>
      <c r="G355" s="12">
        <f>IF($B355="","",IF(COUNTIF(Cellar!$A$5:$A$31,$B355)=0,"NOT IN THE CELLAR","ok"))</f>
        <v/>
      </c>
    </row>
    <row r="356">
      <c r="A356" s="13" t="n"/>
      <c r="B356" s="18" t="n"/>
      <c r="C356" s="18" t="n"/>
      <c r="D356" s="19" t="n"/>
      <c r="E356" s="19" t="n"/>
      <c r="F356" s="17">
        <f>IF(OR($B356="",$D356=""),"",$D356*$E356)</f>
        <v/>
      </c>
      <c r="G356" s="12">
        <f>IF($B356="","",IF(COUNTIF(Cellar!$A$5:$A$31,$B356)=0,"NOT IN THE CELLAR","ok"))</f>
        <v/>
      </c>
    </row>
    <row r="357">
      <c r="A357" s="13" t="n"/>
      <c r="B357" s="18" t="n"/>
      <c r="C357" s="18" t="n"/>
      <c r="D357" s="19" t="n"/>
      <c r="E357" s="19" t="n"/>
      <c r="F357" s="17">
        <f>IF(OR($B357="",$D357=""),"",$D357*$E357)</f>
        <v/>
      </c>
      <c r="G357" s="12">
        <f>IF($B357="","",IF(COUNTIF(Cellar!$A$5:$A$31,$B357)=0,"NOT IN THE CELLAR","ok"))</f>
        <v/>
      </c>
    </row>
    <row r="358">
      <c r="A358" s="13" t="n"/>
      <c r="B358" s="18" t="n"/>
      <c r="C358" s="18" t="n"/>
      <c r="D358" s="19" t="n"/>
      <c r="E358" s="19" t="n"/>
      <c r="F358" s="17">
        <f>IF(OR($B358="",$D358=""),"",$D358*$E358)</f>
        <v/>
      </c>
      <c r="G358" s="12">
        <f>IF($B358="","",IF(COUNTIF(Cellar!$A$5:$A$31,$B358)=0,"NOT IN THE CELLAR","ok"))</f>
        <v/>
      </c>
    </row>
    <row r="359">
      <c r="A359" s="13" t="n"/>
      <c r="B359" s="18" t="n"/>
      <c r="C359" s="18" t="n"/>
      <c r="D359" s="19" t="n"/>
      <c r="E359" s="19" t="n"/>
      <c r="F359" s="17">
        <f>IF(OR($B359="",$D359=""),"",$D359*$E359)</f>
        <v/>
      </c>
      <c r="G359" s="12">
        <f>IF($B359="","",IF(COUNTIF(Cellar!$A$5:$A$31,$B359)=0,"NOT IN THE CELLAR","ok"))</f>
        <v/>
      </c>
    </row>
    <row r="360">
      <c r="A360" s="13" t="n"/>
      <c r="B360" s="18" t="n"/>
      <c r="C360" s="18" t="n"/>
      <c r="D360" s="19" t="n"/>
      <c r="E360" s="19" t="n"/>
      <c r="F360" s="17">
        <f>IF(OR($B360="",$D360=""),"",$D360*$E360)</f>
        <v/>
      </c>
      <c r="G360" s="12">
        <f>IF($B360="","",IF(COUNTIF(Cellar!$A$5:$A$31,$B360)=0,"NOT IN THE CELLAR","ok"))</f>
        <v/>
      </c>
    </row>
    <row r="361">
      <c r="A361" s="13" t="n"/>
      <c r="B361" s="18" t="n"/>
      <c r="C361" s="18" t="n"/>
      <c r="D361" s="19" t="n"/>
      <c r="E361" s="19" t="n"/>
      <c r="F361" s="17">
        <f>IF(OR($B361="",$D361=""),"",$D361*$E361)</f>
        <v/>
      </c>
      <c r="G361" s="12">
        <f>IF($B361="","",IF(COUNTIF(Cellar!$A$5:$A$31,$B361)=0,"NOT IN THE CELLAR","ok"))</f>
        <v/>
      </c>
    </row>
    <row r="362">
      <c r="A362" s="13" t="n"/>
      <c r="B362" s="18" t="n"/>
      <c r="C362" s="18" t="n"/>
      <c r="D362" s="19" t="n"/>
      <c r="E362" s="19" t="n"/>
      <c r="F362" s="17">
        <f>IF(OR($B362="",$D362=""),"",$D362*$E362)</f>
        <v/>
      </c>
      <c r="G362" s="12">
        <f>IF($B362="","",IF(COUNTIF(Cellar!$A$5:$A$31,$B362)=0,"NOT IN THE CELLAR","ok"))</f>
        <v/>
      </c>
    </row>
    <row r="363">
      <c r="A363" s="13" t="n"/>
      <c r="B363" s="18" t="n"/>
      <c r="C363" s="18" t="n"/>
      <c r="D363" s="19" t="n"/>
      <c r="E363" s="19" t="n"/>
      <c r="F363" s="17">
        <f>IF(OR($B363="",$D363=""),"",$D363*$E363)</f>
        <v/>
      </c>
      <c r="G363" s="12">
        <f>IF($B363="","",IF(COUNTIF(Cellar!$A$5:$A$31,$B363)=0,"NOT IN THE CELLAR","ok"))</f>
        <v/>
      </c>
    </row>
    <row r="364">
      <c r="A364" s="13" t="n"/>
      <c r="B364" s="18" t="n"/>
      <c r="C364" s="18" t="n"/>
      <c r="D364" s="19" t="n"/>
      <c r="E364" s="19" t="n"/>
      <c r="F364" s="17">
        <f>IF(OR($B364="",$D364=""),"",$D364*$E364)</f>
        <v/>
      </c>
      <c r="G364" s="12">
        <f>IF($B364="","",IF(COUNTIF(Cellar!$A$5:$A$31,$B364)=0,"NOT IN THE CELLAR","ok"))</f>
        <v/>
      </c>
    </row>
    <row r="365">
      <c r="A365" s="13" t="n"/>
      <c r="B365" s="18" t="n"/>
      <c r="C365" s="18" t="n"/>
      <c r="D365" s="19" t="n"/>
      <c r="E365" s="19" t="n"/>
      <c r="F365" s="17">
        <f>IF(OR($B365="",$D365=""),"",$D365*$E365)</f>
        <v/>
      </c>
      <c r="G365" s="12">
        <f>IF($B365="","",IF(COUNTIF(Cellar!$A$5:$A$31,$B365)=0,"NOT IN THE CELLAR","ok"))</f>
        <v/>
      </c>
    </row>
    <row r="366">
      <c r="A366" s="13" t="n"/>
      <c r="B366" s="18" t="n"/>
      <c r="C366" s="18" t="n"/>
      <c r="D366" s="19" t="n"/>
      <c r="E366" s="19" t="n"/>
      <c r="F366" s="17">
        <f>IF(OR($B366="",$D366=""),"",$D366*$E366)</f>
        <v/>
      </c>
      <c r="G366" s="12">
        <f>IF($B366="","",IF(COUNTIF(Cellar!$A$5:$A$31,$B366)=0,"NOT IN THE CELLAR","ok"))</f>
        <v/>
      </c>
    </row>
    <row r="367">
      <c r="A367" s="13" t="n"/>
      <c r="B367" s="18" t="n"/>
      <c r="C367" s="18" t="n"/>
      <c r="D367" s="19" t="n"/>
      <c r="E367" s="19" t="n"/>
      <c r="F367" s="17">
        <f>IF(OR($B367="",$D367=""),"",$D367*$E367)</f>
        <v/>
      </c>
      <c r="G367" s="12">
        <f>IF($B367="","",IF(COUNTIF(Cellar!$A$5:$A$31,$B367)=0,"NOT IN THE CELLAR","ok"))</f>
        <v/>
      </c>
    </row>
    <row r="368">
      <c r="A368" s="13" t="n"/>
      <c r="B368" s="18" t="n"/>
      <c r="C368" s="18" t="n"/>
      <c r="D368" s="19" t="n"/>
      <c r="E368" s="19" t="n"/>
      <c r="F368" s="17">
        <f>IF(OR($B368="",$D368=""),"",$D368*$E368)</f>
        <v/>
      </c>
      <c r="G368" s="12">
        <f>IF($B368="","",IF(COUNTIF(Cellar!$A$5:$A$31,$B368)=0,"NOT IN THE CELLAR","ok"))</f>
        <v/>
      </c>
    </row>
    <row r="369">
      <c r="A369" s="13" t="n"/>
      <c r="B369" s="18" t="n"/>
      <c r="C369" s="18" t="n"/>
      <c r="D369" s="19" t="n"/>
      <c r="E369" s="19" t="n"/>
      <c r="F369" s="17">
        <f>IF(OR($B369="",$D369=""),"",$D369*$E369)</f>
        <v/>
      </c>
      <c r="G369" s="12">
        <f>IF($B369="","",IF(COUNTIF(Cellar!$A$5:$A$31,$B369)=0,"NOT IN THE CELLAR","ok"))</f>
        <v/>
      </c>
    </row>
    <row r="370">
      <c r="A370" s="13" t="n"/>
      <c r="B370" s="18" t="n"/>
      <c r="C370" s="18" t="n"/>
      <c r="D370" s="19" t="n"/>
      <c r="E370" s="19" t="n"/>
      <c r="F370" s="17">
        <f>IF(OR($B370="",$D370=""),"",$D370*$E370)</f>
        <v/>
      </c>
      <c r="G370" s="12">
        <f>IF($B370="","",IF(COUNTIF(Cellar!$A$5:$A$31,$B370)=0,"NOT IN THE CELLAR","ok"))</f>
        <v/>
      </c>
    </row>
    <row r="371">
      <c r="A371" s="13" t="n"/>
      <c r="B371" s="18" t="n"/>
      <c r="C371" s="18" t="n"/>
      <c r="D371" s="19" t="n"/>
      <c r="E371" s="19" t="n"/>
      <c r="F371" s="17">
        <f>IF(OR($B371="",$D371=""),"",$D371*$E371)</f>
        <v/>
      </c>
      <c r="G371" s="12">
        <f>IF($B371="","",IF(COUNTIF(Cellar!$A$5:$A$31,$B371)=0,"NOT IN THE CELLAR","ok"))</f>
        <v/>
      </c>
    </row>
    <row r="372">
      <c r="A372" s="13" t="n"/>
      <c r="B372" s="18" t="n"/>
      <c r="C372" s="18" t="n"/>
      <c r="D372" s="19" t="n"/>
      <c r="E372" s="19" t="n"/>
      <c r="F372" s="17">
        <f>IF(OR($B372="",$D372=""),"",$D372*$E372)</f>
        <v/>
      </c>
      <c r="G372" s="12">
        <f>IF($B372="","",IF(COUNTIF(Cellar!$A$5:$A$31,$B372)=0,"NOT IN THE CELLAR","ok"))</f>
        <v/>
      </c>
    </row>
    <row r="373">
      <c r="A373" s="13" t="n"/>
      <c r="B373" s="18" t="n"/>
      <c r="C373" s="18" t="n"/>
      <c r="D373" s="19" t="n"/>
      <c r="E373" s="19" t="n"/>
      <c r="F373" s="17">
        <f>IF(OR($B373="",$D373=""),"",$D373*$E373)</f>
        <v/>
      </c>
      <c r="G373" s="12">
        <f>IF($B373="","",IF(COUNTIF(Cellar!$A$5:$A$31,$B373)=0,"NOT IN THE CELLAR","ok"))</f>
        <v/>
      </c>
    </row>
    <row r="374">
      <c r="A374" s="13" t="n"/>
      <c r="B374" s="18" t="n"/>
      <c r="C374" s="18" t="n"/>
      <c r="D374" s="19" t="n"/>
      <c r="E374" s="19" t="n"/>
      <c r="F374" s="17">
        <f>IF(OR($B374="",$D374=""),"",$D374*$E374)</f>
        <v/>
      </c>
      <c r="G374" s="12">
        <f>IF($B374="","",IF(COUNTIF(Cellar!$A$5:$A$31,$B374)=0,"NOT IN THE CELLAR","ok"))</f>
        <v/>
      </c>
    </row>
    <row r="375">
      <c r="A375" s="13" t="n"/>
      <c r="B375" s="18" t="n"/>
      <c r="C375" s="18" t="n"/>
      <c r="D375" s="19" t="n"/>
      <c r="E375" s="19" t="n"/>
      <c r="F375" s="17">
        <f>IF(OR($B375="",$D375=""),"",$D375*$E375)</f>
        <v/>
      </c>
      <c r="G375" s="12">
        <f>IF($B375="","",IF(COUNTIF(Cellar!$A$5:$A$31,$B375)=0,"NOT IN THE CELLAR","ok"))</f>
        <v/>
      </c>
    </row>
    <row r="376">
      <c r="A376" s="13" t="n"/>
      <c r="B376" s="18" t="n"/>
      <c r="C376" s="18" t="n"/>
      <c r="D376" s="19" t="n"/>
      <c r="E376" s="19" t="n"/>
      <c r="F376" s="17">
        <f>IF(OR($B376="",$D376=""),"",$D376*$E376)</f>
        <v/>
      </c>
      <c r="G376" s="12">
        <f>IF($B376="","",IF(COUNTIF(Cellar!$A$5:$A$31,$B376)=0,"NOT IN THE CELLAR","ok"))</f>
        <v/>
      </c>
    </row>
    <row r="377">
      <c r="A377" s="13" t="n"/>
      <c r="B377" s="18" t="n"/>
      <c r="C377" s="18" t="n"/>
      <c r="D377" s="19" t="n"/>
      <c r="E377" s="19" t="n"/>
      <c r="F377" s="17">
        <f>IF(OR($B377="",$D377=""),"",$D377*$E377)</f>
        <v/>
      </c>
      <c r="G377" s="12">
        <f>IF($B377="","",IF(COUNTIF(Cellar!$A$5:$A$31,$B377)=0,"NOT IN THE CELLAR","ok"))</f>
        <v/>
      </c>
    </row>
    <row r="378">
      <c r="A378" s="13" t="n"/>
      <c r="B378" s="18" t="n"/>
      <c r="C378" s="18" t="n"/>
      <c r="D378" s="19" t="n"/>
      <c r="E378" s="19" t="n"/>
      <c r="F378" s="17">
        <f>IF(OR($B378="",$D378=""),"",$D378*$E378)</f>
        <v/>
      </c>
      <c r="G378" s="12">
        <f>IF($B378="","",IF(COUNTIF(Cellar!$A$5:$A$31,$B378)=0,"NOT IN THE CELLAR","ok"))</f>
        <v/>
      </c>
    </row>
    <row r="379">
      <c r="A379" s="13" t="n"/>
      <c r="B379" s="18" t="n"/>
      <c r="C379" s="18" t="n"/>
      <c r="D379" s="19" t="n"/>
      <c r="E379" s="19" t="n"/>
      <c r="F379" s="17">
        <f>IF(OR($B379="",$D379=""),"",$D379*$E379)</f>
        <v/>
      </c>
      <c r="G379" s="12">
        <f>IF($B379="","",IF(COUNTIF(Cellar!$A$5:$A$31,$B379)=0,"NOT IN THE CELLAR","ok"))</f>
        <v/>
      </c>
    </row>
    <row r="380">
      <c r="A380" s="13" t="n"/>
      <c r="B380" s="18" t="n"/>
      <c r="C380" s="18" t="n"/>
      <c r="D380" s="19" t="n"/>
      <c r="E380" s="19" t="n"/>
      <c r="F380" s="17">
        <f>IF(OR($B380="",$D380=""),"",$D380*$E380)</f>
        <v/>
      </c>
      <c r="G380" s="12">
        <f>IF($B380="","",IF(COUNTIF(Cellar!$A$5:$A$31,$B380)=0,"NOT IN THE CELLAR","ok"))</f>
        <v/>
      </c>
    </row>
    <row r="381">
      <c r="A381" s="13" t="n"/>
      <c r="B381" s="18" t="n"/>
      <c r="C381" s="18" t="n"/>
      <c r="D381" s="19" t="n"/>
      <c r="E381" s="19" t="n"/>
      <c r="F381" s="17">
        <f>IF(OR($B381="",$D381=""),"",$D381*$E381)</f>
        <v/>
      </c>
      <c r="G381" s="12">
        <f>IF($B381="","",IF(COUNTIF(Cellar!$A$5:$A$31,$B381)=0,"NOT IN THE CELLAR","ok"))</f>
        <v/>
      </c>
    </row>
    <row r="382">
      <c r="A382" s="13" t="n"/>
      <c r="B382" s="18" t="n"/>
      <c r="C382" s="18" t="n"/>
      <c r="D382" s="19" t="n"/>
      <c r="E382" s="19" t="n"/>
      <c r="F382" s="17">
        <f>IF(OR($B382="",$D382=""),"",$D382*$E382)</f>
        <v/>
      </c>
      <c r="G382" s="12">
        <f>IF($B382="","",IF(COUNTIF(Cellar!$A$5:$A$31,$B382)=0,"NOT IN THE CELLAR","ok"))</f>
        <v/>
      </c>
    </row>
    <row r="383">
      <c r="A383" s="13" t="n"/>
      <c r="B383" s="18" t="n"/>
      <c r="C383" s="18" t="n"/>
      <c r="D383" s="19" t="n"/>
      <c r="E383" s="19" t="n"/>
      <c r="F383" s="17">
        <f>IF(OR($B383="",$D383=""),"",$D383*$E383)</f>
        <v/>
      </c>
      <c r="G383" s="12">
        <f>IF($B383="","",IF(COUNTIF(Cellar!$A$5:$A$31,$B383)=0,"NOT IN THE CELLAR","ok"))</f>
        <v/>
      </c>
    </row>
    <row r="384">
      <c r="A384" s="13" t="n"/>
      <c r="B384" s="18" t="n"/>
      <c r="C384" s="18" t="n"/>
      <c r="D384" s="19" t="n"/>
      <c r="E384" s="19" t="n"/>
      <c r="F384" s="17">
        <f>IF(OR($B384="",$D384=""),"",$D384*$E384)</f>
        <v/>
      </c>
      <c r="G384" s="12">
        <f>IF($B384="","",IF(COUNTIF(Cellar!$A$5:$A$31,$B384)=0,"NOT IN THE CELLAR","ok"))</f>
        <v/>
      </c>
    </row>
    <row r="385">
      <c r="A385" s="13" t="n"/>
      <c r="B385" s="18" t="n"/>
      <c r="C385" s="18" t="n"/>
      <c r="D385" s="19" t="n"/>
      <c r="E385" s="19" t="n"/>
      <c r="F385" s="17">
        <f>IF(OR($B385="",$D385=""),"",$D385*$E385)</f>
        <v/>
      </c>
      <c r="G385" s="12">
        <f>IF($B385="","",IF(COUNTIF(Cellar!$A$5:$A$31,$B385)=0,"NOT IN THE CELLAR","ok"))</f>
        <v/>
      </c>
    </row>
    <row r="386">
      <c r="A386" s="13" t="n"/>
      <c r="B386" s="18" t="n"/>
      <c r="C386" s="18" t="n"/>
      <c r="D386" s="19" t="n"/>
      <c r="E386" s="19" t="n"/>
      <c r="F386" s="17">
        <f>IF(OR($B386="",$D386=""),"",$D386*$E386)</f>
        <v/>
      </c>
      <c r="G386" s="12">
        <f>IF($B386="","",IF(COUNTIF(Cellar!$A$5:$A$31,$B386)=0,"NOT IN THE CELLAR","ok"))</f>
        <v/>
      </c>
    </row>
    <row r="387">
      <c r="A387" s="13" t="n"/>
      <c r="B387" s="18" t="n"/>
      <c r="C387" s="18" t="n"/>
      <c r="D387" s="19" t="n"/>
      <c r="E387" s="19" t="n"/>
      <c r="F387" s="17">
        <f>IF(OR($B387="",$D387=""),"",$D387*$E387)</f>
        <v/>
      </c>
      <c r="G387" s="12">
        <f>IF($B387="","",IF(COUNTIF(Cellar!$A$5:$A$31,$B387)=0,"NOT IN THE CELLAR","ok"))</f>
        <v/>
      </c>
    </row>
    <row r="388">
      <c r="A388" s="13" t="n"/>
      <c r="B388" s="18" t="n"/>
      <c r="C388" s="18" t="n"/>
      <c r="D388" s="19" t="n"/>
      <c r="E388" s="19" t="n"/>
      <c r="F388" s="17">
        <f>IF(OR($B388="",$D388=""),"",$D388*$E388)</f>
        <v/>
      </c>
      <c r="G388" s="12">
        <f>IF($B388="","",IF(COUNTIF(Cellar!$A$5:$A$31,$B388)=0,"NOT IN THE CELLAR","ok"))</f>
        <v/>
      </c>
    </row>
    <row r="389">
      <c r="A389" s="13" t="n"/>
      <c r="B389" s="18" t="n"/>
      <c r="C389" s="18" t="n"/>
      <c r="D389" s="19" t="n"/>
      <c r="E389" s="19" t="n"/>
      <c r="F389" s="17">
        <f>IF(OR($B389="",$D389=""),"",$D389*$E389)</f>
        <v/>
      </c>
      <c r="G389" s="12">
        <f>IF($B389="","",IF(COUNTIF(Cellar!$A$5:$A$31,$B389)=0,"NOT IN THE CELLAR","ok"))</f>
        <v/>
      </c>
    </row>
    <row r="390">
      <c r="A390" s="13" t="n"/>
      <c r="B390" s="18" t="n"/>
      <c r="C390" s="18" t="n"/>
      <c r="D390" s="19" t="n"/>
      <c r="E390" s="19" t="n"/>
      <c r="F390" s="17">
        <f>IF(OR($B390="",$D390=""),"",$D390*$E390)</f>
        <v/>
      </c>
      <c r="G390" s="12">
        <f>IF($B390="","",IF(COUNTIF(Cellar!$A$5:$A$31,$B390)=0,"NOT IN THE CELLAR","ok"))</f>
        <v/>
      </c>
    </row>
    <row r="391">
      <c r="A391" s="13" t="n"/>
      <c r="B391" s="18" t="n"/>
      <c r="C391" s="18" t="n"/>
      <c r="D391" s="19" t="n"/>
      <c r="E391" s="19" t="n"/>
      <c r="F391" s="17">
        <f>IF(OR($B391="",$D391=""),"",$D391*$E391)</f>
        <v/>
      </c>
      <c r="G391" s="12">
        <f>IF($B391="","",IF(COUNTIF(Cellar!$A$5:$A$31,$B391)=0,"NOT IN THE CELLAR","ok"))</f>
        <v/>
      </c>
    </row>
    <row r="392">
      <c r="A392" s="13" t="n"/>
      <c r="B392" s="18" t="n"/>
      <c r="C392" s="18" t="n"/>
      <c r="D392" s="19" t="n"/>
      <c r="E392" s="19" t="n"/>
      <c r="F392" s="17">
        <f>IF(OR($B392="",$D392=""),"",$D392*$E392)</f>
        <v/>
      </c>
      <c r="G392" s="12">
        <f>IF($B392="","",IF(COUNTIF(Cellar!$A$5:$A$31,$B392)=0,"NOT IN THE CELLAR","ok"))</f>
        <v/>
      </c>
    </row>
    <row r="393">
      <c r="A393" s="13" t="n"/>
      <c r="B393" s="18" t="n"/>
      <c r="C393" s="18" t="n"/>
      <c r="D393" s="19" t="n"/>
      <c r="E393" s="19" t="n"/>
      <c r="F393" s="17">
        <f>IF(OR($B393="",$D393=""),"",$D393*$E393)</f>
        <v/>
      </c>
      <c r="G393" s="12">
        <f>IF($B393="","",IF(COUNTIF(Cellar!$A$5:$A$31,$B393)=0,"NOT IN THE CELLAR","ok"))</f>
        <v/>
      </c>
    </row>
    <row r="394">
      <c r="A394" s="13" t="n"/>
      <c r="B394" s="18" t="n"/>
      <c r="C394" s="18" t="n"/>
      <c r="D394" s="19" t="n"/>
      <c r="E394" s="19" t="n"/>
      <c r="F394" s="17">
        <f>IF(OR($B394="",$D394=""),"",$D394*$E394)</f>
        <v/>
      </c>
      <c r="G394" s="12">
        <f>IF($B394="","",IF(COUNTIF(Cellar!$A$5:$A$31,$B394)=0,"NOT IN THE CELLAR","ok"))</f>
        <v/>
      </c>
    </row>
    <row r="395">
      <c r="A395" s="13" t="n"/>
      <c r="B395" s="18" t="n"/>
      <c r="C395" s="18" t="n"/>
      <c r="D395" s="19" t="n"/>
      <c r="E395" s="19" t="n"/>
      <c r="F395" s="17">
        <f>IF(OR($B395="",$D395=""),"",$D395*$E395)</f>
        <v/>
      </c>
      <c r="G395" s="12">
        <f>IF($B395="","",IF(COUNTIF(Cellar!$A$5:$A$31,$B395)=0,"NOT IN THE CELLAR","ok"))</f>
        <v/>
      </c>
    </row>
    <row r="396">
      <c r="A396" s="13" t="n"/>
      <c r="B396" s="18" t="n"/>
      <c r="C396" s="18" t="n"/>
      <c r="D396" s="19" t="n"/>
      <c r="E396" s="19" t="n"/>
      <c r="F396" s="17">
        <f>IF(OR($B396="",$D396=""),"",$D396*$E396)</f>
        <v/>
      </c>
      <c r="G396" s="12">
        <f>IF($B396="","",IF(COUNTIF(Cellar!$A$5:$A$31,$B396)=0,"NOT IN THE CELLAR","ok"))</f>
        <v/>
      </c>
    </row>
    <row r="397">
      <c r="A397" s="13" t="n"/>
      <c r="B397" s="18" t="n"/>
      <c r="C397" s="18" t="n"/>
      <c r="D397" s="19" t="n"/>
      <c r="E397" s="19" t="n"/>
      <c r="F397" s="17">
        <f>IF(OR($B397="",$D397=""),"",$D397*$E397)</f>
        <v/>
      </c>
      <c r="G397" s="12">
        <f>IF($B397="","",IF(COUNTIF(Cellar!$A$5:$A$31,$B397)=0,"NOT IN THE CELLAR","ok"))</f>
        <v/>
      </c>
    </row>
    <row r="398">
      <c r="A398" s="13" t="n"/>
      <c r="B398" s="18" t="n"/>
      <c r="C398" s="18" t="n"/>
      <c r="D398" s="19" t="n"/>
      <c r="E398" s="19" t="n"/>
      <c r="F398" s="17">
        <f>IF(OR($B398="",$D398=""),"",$D398*$E398)</f>
        <v/>
      </c>
      <c r="G398" s="12">
        <f>IF($B398="","",IF(COUNTIF(Cellar!$A$5:$A$31,$B398)=0,"NOT IN THE CELLAR","ok"))</f>
        <v/>
      </c>
    </row>
    <row r="399">
      <c r="A399" s="13" t="n"/>
      <c r="B399" s="18" t="n"/>
      <c r="C399" s="18" t="n"/>
      <c r="D399" s="19" t="n"/>
      <c r="E399" s="19" t="n"/>
      <c r="F399" s="17">
        <f>IF(OR($B399="",$D399=""),"",$D399*$E399)</f>
        <v/>
      </c>
      <c r="G399" s="12">
        <f>IF($B399="","",IF(COUNTIF(Cellar!$A$5:$A$31,$B399)=0,"NOT IN THE CELLAR","ok"))</f>
        <v/>
      </c>
    </row>
    <row r="400">
      <c r="A400" s="13" t="n"/>
      <c r="B400" s="18" t="n"/>
      <c r="C400" s="18" t="n"/>
      <c r="D400" s="19" t="n"/>
      <c r="E400" s="19" t="n"/>
      <c r="F400" s="17">
        <f>IF(OR($B400="",$D400=""),"",$D400*$E400)</f>
        <v/>
      </c>
      <c r="G400" s="12">
        <f>IF($B400="","",IF(COUNTIF(Cellar!$A$5:$A$31,$B400)=0,"NOT IN THE CELLAR","ok"))</f>
        <v/>
      </c>
    </row>
    <row r="401">
      <c r="A401" s="13" t="n"/>
      <c r="B401" s="18" t="n"/>
      <c r="C401" s="18" t="n"/>
      <c r="D401" s="19" t="n"/>
      <c r="E401" s="19" t="n"/>
      <c r="F401" s="17">
        <f>IF(OR($B401="",$D401=""),"",$D401*$E401)</f>
        <v/>
      </c>
      <c r="G401" s="12">
        <f>IF($B401="","",IF(COUNTIF(Cellar!$A$5:$A$31,$B401)=0,"NOT IN THE CELLAR","ok"))</f>
        <v/>
      </c>
    </row>
    <row r="402">
      <c r="A402" s="13" t="n"/>
      <c r="B402" s="18" t="n"/>
      <c r="C402" s="18" t="n"/>
      <c r="D402" s="19" t="n"/>
      <c r="E402" s="19" t="n"/>
      <c r="F402" s="17">
        <f>IF(OR($B402="",$D402=""),"",$D402*$E402)</f>
        <v/>
      </c>
      <c r="G402" s="12">
        <f>IF($B402="","",IF(COUNTIF(Cellar!$A$5:$A$31,$B402)=0,"NOT IN THE CELLAR","ok"))</f>
        <v/>
      </c>
    </row>
    <row r="403">
      <c r="A403" s="13" t="n"/>
      <c r="B403" s="18" t="n"/>
      <c r="C403" s="18" t="n"/>
      <c r="D403" s="19" t="n"/>
      <c r="E403" s="19" t="n"/>
      <c r="F403" s="17">
        <f>IF(OR($B403="",$D403=""),"",$D403*$E403)</f>
        <v/>
      </c>
      <c r="G403" s="12">
        <f>IF($B403="","",IF(COUNTIF(Cellar!$A$5:$A$31,$B403)=0,"NOT IN THE CELLAR","ok"))</f>
        <v/>
      </c>
    </row>
    <row r="404">
      <c r="A404" s="13" t="n"/>
      <c r="B404" s="18" t="n"/>
      <c r="C404" s="18" t="n"/>
      <c r="D404" s="19" t="n"/>
      <c r="E404" s="19" t="n"/>
      <c r="F404" s="17">
        <f>IF(OR($B404="",$D404=""),"",$D404*$E404)</f>
        <v/>
      </c>
      <c r="G404" s="12">
        <f>IF($B404="","",IF(COUNTIF(Cellar!$A$5:$A$31,$B404)=0,"NOT IN THE CELLAR","ok"))</f>
        <v/>
      </c>
    </row>
    <row r="405">
      <c r="A405" s="13" t="n"/>
      <c r="B405" s="18" t="n"/>
      <c r="C405" s="18" t="n"/>
      <c r="D405" s="19" t="n"/>
      <c r="E405" s="19" t="n"/>
      <c r="F405" s="17">
        <f>IF(OR($B405="",$D405=""),"",$D405*$E405)</f>
        <v/>
      </c>
      <c r="G405" s="12">
        <f>IF($B405="","",IF(COUNTIF(Cellar!$A$5:$A$31,$B405)=0,"NOT IN THE CELLAR","ok"))</f>
        <v/>
      </c>
    </row>
    <row r="406">
      <c r="A406" s="13" t="n"/>
      <c r="B406" s="18" t="n"/>
      <c r="C406" s="18" t="n"/>
      <c r="D406" s="19" t="n"/>
      <c r="E406" s="19" t="n"/>
      <c r="F406" s="17">
        <f>IF(OR($B406="",$D406=""),"",$D406*$E406)</f>
        <v/>
      </c>
      <c r="G406" s="12">
        <f>IF($B406="","",IF(COUNTIF(Cellar!$A$5:$A$31,$B406)=0,"NOT IN THE CELLAR","ok"))</f>
        <v/>
      </c>
    </row>
    <row r="407">
      <c r="A407" s="13" t="n"/>
      <c r="B407" s="18" t="n"/>
      <c r="C407" s="18" t="n"/>
      <c r="D407" s="19" t="n"/>
      <c r="E407" s="19" t="n"/>
      <c r="F407" s="17">
        <f>IF(OR($B407="",$D407=""),"",$D407*$E407)</f>
        <v/>
      </c>
      <c r="G407" s="12">
        <f>IF($B407="","",IF(COUNTIF(Cellar!$A$5:$A$31,$B407)=0,"NOT IN THE CELLAR","ok"))</f>
        <v/>
      </c>
    </row>
    <row r="408">
      <c r="A408" s="13" t="n"/>
      <c r="B408" s="18" t="n"/>
      <c r="C408" s="18" t="n"/>
      <c r="D408" s="19" t="n"/>
      <c r="E408" s="19" t="n"/>
      <c r="F408" s="17">
        <f>IF(OR($B408="",$D408=""),"",$D408*$E408)</f>
        <v/>
      </c>
      <c r="G408" s="12">
        <f>IF($B408="","",IF(COUNTIF(Cellar!$A$5:$A$31,$B408)=0,"NOT IN THE CELLAR","ok"))</f>
        <v/>
      </c>
    </row>
    <row r="409">
      <c r="A409" s="13" t="n"/>
      <c r="B409" s="18" t="n"/>
      <c r="C409" s="18" t="n"/>
      <c r="D409" s="19" t="n"/>
      <c r="E409" s="19" t="n"/>
      <c r="F409" s="17">
        <f>IF(OR($B409="",$D409=""),"",$D409*$E409)</f>
        <v/>
      </c>
      <c r="G409" s="12">
        <f>IF($B409="","",IF(COUNTIF(Cellar!$A$5:$A$31,$B409)=0,"NOT IN THE CELLAR","ok"))</f>
        <v/>
      </c>
    </row>
    <row r="410">
      <c r="A410" s="13" t="n"/>
      <c r="B410" s="18" t="n"/>
      <c r="C410" s="18" t="n"/>
      <c r="D410" s="19" t="n"/>
      <c r="E410" s="19" t="n"/>
      <c r="F410" s="17">
        <f>IF(OR($B410="",$D410=""),"",$D410*$E410)</f>
        <v/>
      </c>
      <c r="G410" s="12">
        <f>IF($B410="","",IF(COUNTIF(Cellar!$A$5:$A$31,$B410)=0,"NOT IN THE CELLAR","ok"))</f>
        <v/>
      </c>
    </row>
    <row r="411">
      <c r="A411" s="13" t="n"/>
      <c r="B411" s="18" t="n"/>
      <c r="C411" s="18" t="n"/>
      <c r="D411" s="19" t="n"/>
      <c r="E411" s="19" t="n"/>
      <c r="F411" s="17">
        <f>IF(OR($B411="",$D411=""),"",$D411*$E411)</f>
        <v/>
      </c>
      <c r="G411" s="12">
        <f>IF($B411="","",IF(COUNTIF(Cellar!$A$5:$A$31,$B411)=0,"NOT IN THE CELLAR","ok"))</f>
        <v/>
      </c>
    </row>
    <row r="412">
      <c r="A412" s="13" t="n"/>
      <c r="B412" s="18" t="n"/>
      <c r="C412" s="18" t="n"/>
      <c r="D412" s="19" t="n"/>
      <c r="E412" s="19" t="n"/>
      <c r="F412" s="17">
        <f>IF(OR($B412="",$D412=""),"",$D412*$E412)</f>
        <v/>
      </c>
      <c r="G412" s="12">
        <f>IF($B412="","",IF(COUNTIF(Cellar!$A$5:$A$31,$B412)=0,"NOT IN THE CELLAR","ok"))</f>
        <v/>
      </c>
    </row>
    <row r="413">
      <c r="A413" s="13" t="n"/>
      <c r="B413" s="18" t="n"/>
      <c r="C413" s="18" t="n"/>
      <c r="D413" s="19" t="n"/>
      <c r="E413" s="19" t="n"/>
      <c r="F413" s="17">
        <f>IF(OR($B413="",$D413=""),"",$D413*$E413)</f>
        <v/>
      </c>
      <c r="G413" s="12">
        <f>IF($B413="","",IF(COUNTIF(Cellar!$A$5:$A$31,$B413)=0,"NOT IN THE CELLAR","ok"))</f>
        <v/>
      </c>
    </row>
    <row r="414">
      <c r="A414" s="13" t="n"/>
      <c r="B414" s="18" t="n"/>
      <c r="C414" s="18" t="n"/>
      <c r="D414" s="19" t="n"/>
      <c r="E414" s="19" t="n"/>
      <c r="F414" s="17">
        <f>IF(OR($B414="",$D414=""),"",$D414*$E414)</f>
        <v/>
      </c>
      <c r="G414" s="12">
        <f>IF($B414="","",IF(COUNTIF(Cellar!$A$5:$A$31,$B414)=0,"NOT IN THE CELLAR","ok"))</f>
        <v/>
      </c>
    </row>
    <row r="415">
      <c r="A415" s="13" t="n"/>
      <c r="B415" s="18" t="n"/>
      <c r="C415" s="18" t="n"/>
      <c r="D415" s="19" t="n"/>
      <c r="E415" s="19" t="n"/>
      <c r="F415" s="17">
        <f>IF(OR($B415="",$D415=""),"",$D415*$E415)</f>
        <v/>
      </c>
      <c r="G415" s="12">
        <f>IF($B415="","",IF(COUNTIF(Cellar!$A$5:$A$31,$B415)=0,"NOT IN THE CELLAR","ok"))</f>
        <v/>
      </c>
    </row>
    <row r="416">
      <c r="A416" s="13" t="n"/>
      <c r="B416" s="18" t="n"/>
      <c r="C416" s="18" t="n"/>
      <c r="D416" s="19" t="n"/>
      <c r="E416" s="19" t="n"/>
      <c r="F416" s="17">
        <f>IF(OR($B416="",$D416=""),"",$D416*$E416)</f>
        <v/>
      </c>
      <c r="G416" s="12">
        <f>IF($B416="","",IF(COUNTIF(Cellar!$A$5:$A$31,$B416)=0,"NOT IN THE CELLAR","ok"))</f>
        <v/>
      </c>
    </row>
    <row r="417">
      <c r="A417" s="13" t="n"/>
      <c r="B417" s="18" t="n"/>
      <c r="C417" s="18" t="n"/>
      <c r="D417" s="19" t="n"/>
      <c r="E417" s="19" t="n"/>
      <c r="F417" s="17">
        <f>IF(OR($B417="",$D417=""),"",$D417*$E417)</f>
        <v/>
      </c>
      <c r="G417" s="12">
        <f>IF($B417="","",IF(COUNTIF(Cellar!$A$5:$A$31,$B417)=0,"NOT IN THE CELLAR","ok"))</f>
        <v/>
      </c>
    </row>
    <row r="418">
      <c r="A418" s="13" t="n"/>
      <c r="B418" s="18" t="n"/>
      <c r="C418" s="18" t="n"/>
      <c r="D418" s="19" t="n"/>
      <c r="E418" s="19" t="n"/>
      <c r="F418" s="17">
        <f>IF(OR($B418="",$D418=""),"",$D418*$E418)</f>
        <v/>
      </c>
      <c r="G418" s="12">
        <f>IF($B418="","",IF(COUNTIF(Cellar!$A$5:$A$31,$B418)=0,"NOT IN THE CELLAR","ok"))</f>
        <v/>
      </c>
    </row>
    <row r="419">
      <c r="A419" s="13" t="n"/>
      <c r="B419" s="18" t="n"/>
      <c r="C419" s="18" t="n"/>
      <c r="D419" s="19" t="n"/>
      <c r="E419" s="19" t="n"/>
      <c r="F419" s="17">
        <f>IF(OR($B419="",$D419=""),"",$D419*$E419)</f>
        <v/>
      </c>
      <c r="G419" s="12">
        <f>IF($B419="","",IF(COUNTIF(Cellar!$A$5:$A$31,$B419)=0,"NOT IN THE CELLAR","ok"))</f>
        <v/>
      </c>
    </row>
    <row r="420">
      <c r="A420" s="13" t="n"/>
      <c r="B420" s="18" t="n"/>
      <c r="C420" s="18" t="n"/>
      <c r="D420" s="19" t="n"/>
      <c r="E420" s="19" t="n"/>
      <c r="F420" s="17">
        <f>IF(OR($B420="",$D420=""),"",$D420*$E420)</f>
        <v/>
      </c>
      <c r="G420" s="12">
        <f>IF($B420="","",IF(COUNTIF(Cellar!$A$5:$A$31,$B420)=0,"NOT IN THE CELLAR","ok"))</f>
        <v/>
      </c>
    </row>
    <row r="421">
      <c r="A421" s="13" t="n"/>
      <c r="B421" s="18" t="n"/>
      <c r="C421" s="18" t="n"/>
      <c r="D421" s="19" t="n"/>
      <c r="E421" s="19" t="n"/>
      <c r="F421" s="17">
        <f>IF(OR($B421="",$D421=""),"",$D421*$E421)</f>
        <v/>
      </c>
      <c r="G421" s="12">
        <f>IF($B421="","",IF(COUNTIF(Cellar!$A$5:$A$31,$B421)=0,"NOT IN THE CELLAR","ok"))</f>
        <v/>
      </c>
    </row>
    <row r="422">
      <c r="A422" s="13" t="n"/>
      <c r="B422" s="18" t="n"/>
      <c r="C422" s="18" t="n"/>
      <c r="D422" s="19" t="n"/>
      <c r="E422" s="19" t="n"/>
      <c r="F422" s="17">
        <f>IF(OR($B422="",$D422=""),"",$D422*$E422)</f>
        <v/>
      </c>
      <c r="G422" s="12">
        <f>IF($B422="","",IF(COUNTIF(Cellar!$A$5:$A$31,$B422)=0,"NOT IN THE CELLAR","ok"))</f>
        <v/>
      </c>
    </row>
    <row r="423">
      <c r="A423" s="13" t="n"/>
      <c r="B423" s="18" t="n"/>
      <c r="C423" s="18" t="n"/>
      <c r="D423" s="19" t="n"/>
      <c r="E423" s="19" t="n"/>
      <c r="F423" s="17">
        <f>IF(OR($B423="",$D423=""),"",$D423*$E423)</f>
        <v/>
      </c>
      <c r="G423" s="12">
        <f>IF($B423="","",IF(COUNTIF(Cellar!$A$5:$A$31,$B423)=0,"NOT IN THE CELLAR","ok"))</f>
        <v/>
      </c>
    </row>
    <row r="424">
      <c r="A424" s="13" t="n"/>
      <c r="B424" s="18" t="n"/>
      <c r="C424" s="18" t="n"/>
      <c r="D424" s="19" t="n"/>
      <c r="E424" s="19" t="n"/>
      <c r="F424" s="17">
        <f>IF(OR($B424="",$D424=""),"",$D424*$E424)</f>
        <v/>
      </c>
      <c r="G424" s="12">
        <f>IF($B424="","",IF(COUNTIF(Cellar!$A$5:$A$31,$B424)=0,"NOT IN THE CELLAR","ok"))</f>
        <v/>
      </c>
    </row>
    <row r="425">
      <c r="A425" s="13" t="n"/>
      <c r="B425" s="18" t="n"/>
      <c r="C425" s="18" t="n"/>
      <c r="D425" s="19" t="n"/>
      <c r="E425" s="19" t="n"/>
      <c r="F425" s="17">
        <f>IF(OR($B425="",$D425=""),"",$D425*$E425)</f>
        <v/>
      </c>
      <c r="G425" s="12">
        <f>IF($B425="","",IF(COUNTIF(Cellar!$A$5:$A$31,$B425)=0,"NOT IN THE CELLAR","ok"))</f>
        <v/>
      </c>
    </row>
    <row r="426">
      <c r="A426" s="13" t="n"/>
      <c r="B426" s="18" t="n"/>
      <c r="C426" s="18" t="n"/>
      <c r="D426" s="19" t="n"/>
      <c r="E426" s="19" t="n"/>
      <c r="F426" s="17">
        <f>IF(OR($B426="",$D426=""),"",$D426*$E426)</f>
        <v/>
      </c>
      <c r="G426" s="12">
        <f>IF($B426="","",IF(COUNTIF(Cellar!$A$5:$A$31,$B426)=0,"NOT IN THE CELLAR","ok"))</f>
        <v/>
      </c>
    </row>
    <row r="427">
      <c r="A427" s="13" t="n"/>
      <c r="B427" s="18" t="n"/>
      <c r="C427" s="18" t="n"/>
      <c r="D427" s="19" t="n"/>
      <c r="E427" s="19" t="n"/>
      <c r="F427" s="17">
        <f>IF(OR($B427="",$D427=""),"",$D427*$E427)</f>
        <v/>
      </c>
      <c r="G427" s="12">
        <f>IF($B427="","",IF(COUNTIF(Cellar!$A$5:$A$31,$B427)=0,"NOT IN THE CELLAR","ok"))</f>
        <v/>
      </c>
    </row>
    <row r="428">
      <c r="A428" s="13" t="n"/>
      <c r="B428" s="18" t="n"/>
      <c r="C428" s="18" t="n"/>
      <c r="D428" s="19" t="n"/>
      <c r="E428" s="19" t="n"/>
      <c r="F428" s="17">
        <f>IF(OR($B428="",$D428=""),"",$D428*$E428)</f>
        <v/>
      </c>
      <c r="G428" s="12">
        <f>IF($B428="","",IF(COUNTIF(Cellar!$A$5:$A$31,$B428)=0,"NOT IN THE CELLAR","ok"))</f>
        <v/>
      </c>
    </row>
    <row r="429">
      <c r="A429" s="13" t="n"/>
      <c r="B429" s="18" t="n"/>
      <c r="C429" s="18" t="n"/>
      <c r="D429" s="19" t="n"/>
      <c r="E429" s="19" t="n"/>
      <c r="F429" s="17">
        <f>IF(OR($B429="",$D429=""),"",$D429*$E429)</f>
        <v/>
      </c>
      <c r="G429" s="12">
        <f>IF($B429="","",IF(COUNTIF(Cellar!$A$5:$A$31,$B429)=0,"NOT IN THE CELLAR","ok"))</f>
        <v/>
      </c>
    </row>
    <row r="430">
      <c r="A430" s="13" t="n"/>
      <c r="B430" s="18" t="n"/>
      <c r="C430" s="18" t="n"/>
      <c r="D430" s="19" t="n"/>
      <c r="E430" s="19" t="n"/>
      <c r="F430" s="17">
        <f>IF(OR($B430="",$D430=""),"",$D430*$E430)</f>
        <v/>
      </c>
      <c r="G430" s="12">
        <f>IF($B430="","",IF(COUNTIF(Cellar!$A$5:$A$31,$B430)=0,"NOT IN THE CELLAR","ok"))</f>
        <v/>
      </c>
    </row>
    <row r="431">
      <c r="A431" s="13" t="n"/>
      <c r="B431" s="18" t="n"/>
      <c r="C431" s="18" t="n"/>
      <c r="D431" s="19" t="n"/>
      <c r="E431" s="19" t="n"/>
      <c r="F431" s="17">
        <f>IF(OR($B431="",$D431=""),"",$D431*$E431)</f>
        <v/>
      </c>
      <c r="G431" s="12">
        <f>IF($B431="","",IF(COUNTIF(Cellar!$A$5:$A$31,$B431)=0,"NOT IN THE CELLAR","ok"))</f>
        <v/>
      </c>
    </row>
    <row r="432">
      <c r="A432" s="13" t="n"/>
      <c r="B432" s="18" t="n"/>
      <c r="C432" s="18" t="n"/>
      <c r="D432" s="19" t="n"/>
      <c r="E432" s="19" t="n"/>
      <c r="F432" s="17">
        <f>IF(OR($B432="",$D432=""),"",$D432*$E432)</f>
        <v/>
      </c>
      <c r="G432" s="12">
        <f>IF($B432="","",IF(COUNTIF(Cellar!$A$5:$A$31,$B432)=0,"NOT IN THE CELLAR","ok"))</f>
        <v/>
      </c>
    </row>
    <row r="433">
      <c r="A433" s="13" t="n"/>
      <c r="B433" s="18" t="n"/>
      <c r="C433" s="18" t="n"/>
      <c r="D433" s="19" t="n"/>
      <c r="E433" s="19" t="n"/>
      <c r="F433" s="17">
        <f>IF(OR($B433="",$D433=""),"",$D433*$E433)</f>
        <v/>
      </c>
      <c r="G433" s="12">
        <f>IF($B433="","",IF(COUNTIF(Cellar!$A$5:$A$31,$B433)=0,"NOT IN THE CELLAR","ok"))</f>
        <v/>
      </c>
    </row>
    <row r="434">
      <c r="A434" s="13" t="n"/>
      <c r="B434" s="18" t="n"/>
      <c r="C434" s="18" t="n"/>
      <c r="D434" s="19" t="n"/>
      <c r="E434" s="19" t="n"/>
      <c r="F434" s="17">
        <f>IF(OR($B434="",$D434=""),"",$D434*$E434)</f>
        <v/>
      </c>
      <c r="G434" s="12">
        <f>IF($B434="","",IF(COUNTIF(Cellar!$A$5:$A$31,$B434)=0,"NOT IN THE CELLAR","ok"))</f>
        <v/>
      </c>
    </row>
    <row r="435">
      <c r="A435" s="13" t="n"/>
      <c r="B435" s="18" t="n"/>
      <c r="C435" s="18" t="n"/>
      <c r="D435" s="19" t="n"/>
      <c r="E435" s="19" t="n"/>
      <c r="F435" s="17">
        <f>IF(OR($B435="",$D435=""),"",$D435*$E435)</f>
        <v/>
      </c>
      <c r="G435" s="12">
        <f>IF($B435="","",IF(COUNTIF(Cellar!$A$5:$A$31,$B435)=0,"NOT IN THE CELLAR","ok"))</f>
        <v/>
      </c>
    </row>
    <row r="436">
      <c r="A436" s="13" t="n"/>
      <c r="B436" s="18" t="n"/>
      <c r="C436" s="18" t="n"/>
      <c r="D436" s="19" t="n"/>
      <c r="E436" s="19" t="n"/>
      <c r="F436" s="17">
        <f>IF(OR($B436="",$D436=""),"",$D436*$E436)</f>
        <v/>
      </c>
      <c r="G436" s="12">
        <f>IF($B436="","",IF(COUNTIF(Cellar!$A$5:$A$31,$B436)=0,"NOT IN THE CELLAR","ok"))</f>
        <v/>
      </c>
    </row>
    <row r="437">
      <c r="A437" s="13" t="n"/>
      <c r="B437" s="18" t="n"/>
      <c r="C437" s="18" t="n"/>
      <c r="D437" s="19" t="n"/>
      <c r="E437" s="19" t="n"/>
      <c r="F437" s="17">
        <f>IF(OR($B437="",$D437=""),"",$D437*$E437)</f>
        <v/>
      </c>
      <c r="G437" s="12">
        <f>IF($B437="","",IF(COUNTIF(Cellar!$A$5:$A$31,$B437)=0,"NOT IN THE CELLAR","ok"))</f>
        <v/>
      </c>
    </row>
    <row r="438">
      <c r="A438" s="13" t="n"/>
      <c r="B438" s="18" t="n"/>
      <c r="C438" s="18" t="n"/>
      <c r="D438" s="19" t="n"/>
      <c r="E438" s="19" t="n"/>
      <c r="F438" s="17">
        <f>IF(OR($B438="",$D438=""),"",$D438*$E438)</f>
        <v/>
      </c>
      <c r="G438" s="12">
        <f>IF($B438="","",IF(COUNTIF(Cellar!$A$5:$A$31,$B438)=0,"NOT IN THE CELLAR","ok"))</f>
        <v/>
      </c>
    </row>
    <row r="439">
      <c r="A439" s="13" t="n"/>
      <c r="B439" s="18" t="n"/>
      <c r="C439" s="18" t="n"/>
      <c r="D439" s="19" t="n"/>
      <c r="E439" s="19" t="n"/>
      <c r="F439" s="17">
        <f>IF(OR($B439="",$D439=""),"",$D439*$E439)</f>
        <v/>
      </c>
      <c r="G439" s="12">
        <f>IF($B439="","",IF(COUNTIF(Cellar!$A$5:$A$31,$B439)=0,"NOT IN THE CELLAR","ok"))</f>
        <v/>
      </c>
    </row>
    <row r="440">
      <c r="A440" s="13" t="n"/>
      <c r="B440" s="18" t="n"/>
      <c r="C440" s="18" t="n"/>
      <c r="D440" s="19" t="n"/>
      <c r="E440" s="19" t="n"/>
      <c r="F440" s="17">
        <f>IF(OR($B440="",$D440=""),"",$D440*$E440)</f>
        <v/>
      </c>
      <c r="G440" s="12">
        <f>IF($B440="","",IF(COUNTIF(Cellar!$A$5:$A$31,$B440)=0,"NOT IN THE CELLAR","ok"))</f>
        <v/>
      </c>
    </row>
    <row r="441">
      <c r="A441" s="13" t="n"/>
      <c r="B441" s="18" t="n"/>
      <c r="C441" s="18" t="n"/>
      <c r="D441" s="19" t="n"/>
      <c r="E441" s="19" t="n"/>
      <c r="F441" s="17">
        <f>IF(OR($B441="",$D441=""),"",$D441*$E441)</f>
        <v/>
      </c>
      <c r="G441" s="12">
        <f>IF($B441="","",IF(COUNTIF(Cellar!$A$5:$A$31,$B441)=0,"NOT IN THE CELLAR","ok"))</f>
        <v/>
      </c>
    </row>
    <row r="442">
      <c r="A442" s="13" t="n"/>
      <c r="B442" s="18" t="n"/>
      <c r="C442" s="18" t="n"/>
      <c r="D442" s="19" t="n"/>
      <c r="E442" s="19" t="n"/>
      <c r="F442" s="17">
        <f>IF(OR($B442="",$D442=""),"",$D442*$E442)</f>
        <v/>
      </c>
      <c r="G442" s="12">
        <f>IF($B442="","",IF(COUNTIF(Cellar!$A$5:$A$31,$B442)=0,"NOT IN THE CELLAR","ok"))</f>
        <v/>
      </c>
    </row>
    <row r="443">
      <c r="A443" s="13" t="n"/>
      <c r="B443" s="18" t="n"/>
      <c r="C443" s="18" t="n"/>
      <c r="D443" s="19" t="n"/>
      <c r="E443" s="19" t="n"/>
      <c r="F443" s="17">
        <f>IF(OR($B443="",$D443=""),"",$D443*$E443)</f>
        <v/>
      </c>
      <c r="G443" s="12">
        <f>IF($B443="","",IF(COUNTIF(Cellar!$A$5:$A$31,$B443)=0,"NOT IN THE CELLAR","ok"))</f>
        <v/>
      </c>
    </row>
    <row r="444">
      <c r="A444" s="13" t="n"/>
      <c r="B444" s="18" t="n"/>
      <c r="C444" s="18" t="n"/>
      <c r="D444" s="19" t="n"/>
      <c r="E444" s="19" t="n"/>
      <c r="F444" s="17">
        <f>IF(OR($B444="",$D444=""),"",$D444*$E444)</f>
        <v/>
      </c>
      <c r="G444" s="12">
        <f>IF($B444="","",IF(COUNTIF(Cellar!$A$5:$A$31,$B444)=0,"NOT IN THE CELLAR","ok"))</f>
        <v/>
      </c>
    </row>
    <row r="445">
      <c r="A445" s="13" t="n"/>
      <c r="B445" s="18" t="n"/>
      <c r="C445" s="18" t="n"/>
      <c r="D445" s="19" t="n"/>
      <c r="E445" s="19" t="n"/>
      <c r="F445" s="17">
        <f>IF(OR($B445="",$D445=""),"",$D445*$E445)</f>
        <v/>
      </c>
      <c r="G445" s="12">
        <f>IF($B445="","",IF(COUNTIF(Cellar!$A$5:$A$31,$B445)=0,"NOT IN THE CELLAR","ok"))</f>
        <v/>
      </c>
    </row>
    <row r="446">
      <c r="A446" s="13" t="n"/>
      <c r="B446" s="18" t="n"/>
      <c r="C446" s="18" t="n"/>
      <c r="D446" s="19" t="n"/>
      <c r="E446" s="19" t="n"/>
      <c r="F446" s="17">
        <f>IF(OR($B446="",$D446=""),"",$D446*$E446)</f>
        <v/>
      </c>
      <c r="G446" s="12">
        <f>IF($B446="","",IF(COUNTIF(Cellar!$A$5:$A$31,$B446)=0,"NOT IN THE CELLAR","ok"))</f>
        <v/>
      </c>
    </row>
    <row r="447">
      <c r="A447" s="13" t="n"/>
      <c r="B447" s="18" t="n"/>
      <c r="C447" s="18" t="n"/>
      <c r="D447" s="19" t="n"/>
      <c r="E447" s="19" t="n"/>
      <c r="F447" s="17">
        <f>IF(OR($B447="",$D447=""),"",$D447*$E447)</f>
        <v/>
      </c>
      <c r="G447" s="12">
        <f>IF($B447="","",IF(COUNTIF(Cellar!$A$5:$A$31,$B447)=0,"NOT IN THE CELLAR","ok"))</f>
        <v/>
      </c>
    </row>
    <row r="448">
      <c r="A448" s="13" t="n"/>
      <c r="B448" s="18" t="n"/>
      <c r="C448" s="18" t="n"/>
      <c r="D448" s="19" t="n"/>
      <c r="E448" s="19" t="n"/>
      <c r="F448" s="17">
        <f>IF(OR($B448="",$D448=""),"",$D448*$E448)</f>
        <v/>
      </c>
      <c r="G448" s="12">
        <f>IF($B448="","",IF(COUNTIF(Cellar!$A$5:$A$31,$B448)=0,"NOT IN THE CELLAR","ok"))</f>
        <v/>
      </c>
    </row>
    <row r="449">
      <c r="A449" s="13" t="n"/>
      <c r="B449" s="18" t="n"/>
      <c r="C449" s="18" t="n"/>
      <c r="D449" s="19" t="n"/>
      <c r="E449" s="19" t="n"/>
      <c r="F449" s="17">
        <f>IF(OR($B449="",$D449=""),"",$D449*$E449)</f>
        <v/>
      </c>
      <c r="G449" s="12">
        <f>IF($B449="","",IF(COUNTIF(Cellar!$A$5:$A$31,$B449)=0,"NOT IN THE CELLAR","ok"))</f>
        <v/>
      </c>
    </row>
    <row r="450">
      <c r="A450" s="13" t="n"/>
      <c r="B450" s="18" t="n"/>
      <c r="C450" s="18" t="n"/>
      <c r="D450" s="19" t="n"/>
      <c r="E450" s="19" t="n"/>
      <c r="F450" s="17">
        <f>IF(OR($B450="",$D450=""),"",$D450*$E450)</f>
        <v/>
      </c>
      <c r="G450" s="12">
        <f>IF($B450="","",IF(COUNTIF(Cellar!$A$5:$A$31,$B450)=0,"NOT IN THE CELLAR","ok"))</f>
        <v/>
      </c>
    </row>
    <row r="451">
      <c r="A451" s="13" t="n"/>
      <c r="B451" s="18" t="n"/>
      <c r="C451" s="18" t="n"/>
      <c r="D451" s="19" t="n"/>
      <c r="E451" s="19" t="n"/>
      <c r="F451" s="17">
        <f>IF(OR($B451="",$D451=""),"",$D451*$E451)</f>
        <v/>
      </c>
      <c r="G451" s="12">
        <f>IF($B451="","",IF(COUNTIF(Cellar!$A$5:$A$31,$B451)=0,"NOT IN THE CELLAR","ok"))</f>
        <v/>
      </c>
    </row>
    <row r="452">
      <c r="A452" s="13" t="n"/>
      <c r="B452" s="18" t="n"/>
      <c r="C452" s="18" t="n"/>
      <c r="D452" s="19" t="n"/>
      <c r="E452" s="19" t="n"/>
      <c r="F452" s="17">
        <f>IF(OR($B452="",$D452=""),"",$D452*$E452)</f>
        <v/>
      </c>
      <c r="G452" s="12">
        <f>IF($B452="","",IF(COUNTIF(Cellar!$A$5:$A$31,$B452)=0,"NOT IN THE CELLAR","ok"))</f>
        <v/>
      </c>
    </row>
    <row r="453">
      <c r="A453" s="13" t="n"/>
      <c r="B453" s="18" t="n"/>
      <c r="C453" s="18" t="n"/>
      <c r="D453" s="19" t="n"/>
      <c r="E453" s="19" t="n"/>
      <c r="F453" s="17">
        <f>IF(OR($B453="",$D453=""),"",$D453*$E453)</f>
        <v/>
      </c>
      <c r="G453" s="12">
        <f>IF($B453="","",IF(COUNTIF(Cellar!$A$5:$A$31,$B453)=0,"NOT IN THE CELLAR","ok"))</f>
        <v/>
      </c>
    </row>
    <row r="454">
      <c r="A454" s="13" t="n"/>
      <c r="B454" s="18" t="n"/>
      <c r="C454" s="18" t="n"/>
      <c r="D454" s="19" t="n"/>
      <c r="E454" s="19" t="n"/>
      <c r="F454" s="17">
        <f>IF(OR($B454="",$D454=""),"",$D454*$E454)</f>
        <v/>
      </c>
      <c r="G454" s="12">
        <f>IF($B454="","",IF(COUNTIF(Cellar!$A$5:$A$31,$B454)=0,"NOT IN THE CELLAR","ok"))</f>
        <v/>
      </c>
    </row>
    <row r="455">
      <c r="A455" s="13" t="n"/>
      <c r="B455" s="18" t="n"/>
      <c r="C455" s="18" t="n"/>
      <c r="D455" s="19" t="n"/>
      <c r="E455" s="19" t="n"/>
      <c r="F455" s="17">
        <f>IF(OR($B455="",$D455=""),"",$D455*$E455)</f>
        <v/>
      </c>
      <c r="G455" s="12">
        <f>IF($B455="","",IF(COUNTIF(Cellar!$A$5:$A$31,$B455)=0,"NOT IN THE CELLAR","ok"))</f>
        <v/>
      </c>
    </row>
    <row r="456">
      <c r="A456" s="13" t="n"/>
      <c r="B456" s="18" t="n"/>
      <c r="C456" s="18" t="n"/>
      <c r="D456" s="19" t="n"/>
      <c r="E456" s="19" t="n"/>
      <c r="F456" s="17">
        <f>IF(OR($B456="",$D456=""),"",$D456*$E456)</f>
        <v/>
      </c>
      <c r="G456" s="12">
        <f>IF($B456="","",IF(COUNTIF(Cellar!$A$5:$A$31,$B456)=0,"NOT IN THE CELLAR","ok"))</f>
        <v/>
      </c>
    </row>
    <row r="457">
      <c r="A457" s="13" t="n"/>
      <c r="B457" s="18" t="n"/>
      <c r="C457" s="18" t="n"/>
      <c r="D457" s="19" t="n"/>
      <c r="E457" s="19" t="n"/>
      <c r="F457" s="17">
        <f>IF(OR($B457="",$D457=""),"",$D457*$E457)</f>
        <v/>
      </c>
      <c r="G457" s="12">
        <f>IF($B457="","",IF(COUNTIF(Cellar!$A$5:$A$31,$B457)=0,"NOT IN THE CELLAR","ok"))</f>
        <v/>
      </c>
    </row>
    <row r="458">
      <c r="A458" s="13" t="n"/>
      <c r="B458" s="18" t="n"/>
      <c r="C458" s="18" t="n"/>
      <c r="D458" s="19" t="n"/>
      <c r="E458" s="19" t="n"/>
      <c r="F458" s="17">
        <f>IF(OR($B458="",$D458=""),"",$D458*$E458)</f>
        <v/>
      </c>
      <c r="G458" s="12">
        <f>IF($B458="","",IF(COUNTIF(Cellar!$A$5:$A$31,$B458)=0,"NOT IN THE CELLAR","ok"))</f>
        <v/>
      </c>
    </row>
    <row r="459">
      <c r="A459" s="13" t="n"/>
      <c r="B459" s="18" t="n"/>
      <c r="C459" s="18" t="n"/>
      <c r="D459" s="19" t="n"/>
      <c r="E459" s="19" t="n"/>
      <c r="F459" s="17">
        <f>IF(OR($B459="",$D459=""),"",$D459*$E459)</f>
        <v/>
      </c>
      <c r="G459" s="12">
        <f>IF($B459="","",IF(COUNTIF(Cellar!$A$5:$A$31,$B459)=0,"NOT IN THE CELLAR","ok"))</f>
        <v/>
      </c>
    </row>
    <row r="460">
      <c r="A460" s="13" t="n"/>
      <c r="B460" s="18" t="n"/>
      <c r="C460" s="18" t="n"/>
      <c r="D460" s="19" t="n"/>
      <c r="E460" s="19" t="n"/>
      <c r="F460" s="17">
        <f>IF(OR($B460="",$D460=""),"",$D460*$E460)</f>
        <v/>
      </c>
      <c r="G460" s="12">
        <f>IF($B460="","",IF(COUNTIF(Cellar!$A$5:$A$31,$B460)=0,"NOT IN THE CELLAR","ok"))</f>
        <v/>
      </c>
    </row>
    <row r="461">
      <c r="A461" s="13" t="n"/>
      <c r="B461" s="18" t="n"/>
      <c r="C461" s="18" t="n"/>
      <c r="D461" s="19" t="n"/>
      <c r="E461" s="19" t="n"/>
      <c r="F461" s="17">
        <f>IF(OR($B461="",$D461=""),"",$D461*$E461)</f>
        <v/>
      </c>
      <c r="G461" s="12">
        <f>IF($B461="","",IF(COUNTIF(Cellar!$A$5:$A$31,$B461)=0,"NOT IN THE CELLAR","ok"))</f>
        <v/>
      </c>
    </row>
    <row r="462">
      <c r="A462" s="13" t="n"/>
      <c r="B462" s="18" t="n"/>
      <c r="C462" s="18" t="n"/>
      <c r="D462" s="19" t="n"/>
      <c r="E462" s="19" t="n"/>
      <c r="F462" s="17">
        <f>IF(OR($B462="",$D462=""),"",$D462*$E462)</f>
        <v/>
      </c>
      <c r="G462" s="12">
        <f>IF($B462="","",IF(COUNTIF(Cellar!$A$5:$A$31,$B462)=0,"NOT IN THE CELLAR","ok"))</f>
        <v/>
      </c>
    </row>
    <row r="463">
      <c r="A463" s="13" t="n"/>
      <c r="B463" s="18" t="n"/>
      <c r="C463" s="18" t="n"/>
      <c r="D463" s="19" t="n"/>
      <c r="E463" s="19" t="n"/>
      <c r="F463" s="17">
        <f>IF(OR($B463="",$D463=""),"",$D463*$E463)</f>
        <v/>
      </c>
      <c r="G463" s="12">
        <f>IF($B463="","",IF(COUNTIF(Cellar!$A$5:$A$31,$B463)=0,"NOT IN THE CELLAR","ok"))</f>
        <v/>
      </c>
    </row>
    <row r="464">
      <c r="A464" s="13" t="n"/>
      <c r="B464" s="18" t="n"/>
      <c r="C464" s="18" t="n"/>
      <c r="D464" s="19" t="n"/>
      <c r="E464" s="19" t="n"/>
      <c r="F464" s="17">
        <f>IF(OR($B464="",$D464=""),"",$D464*$E464)</f>
        <v/>
      </c>
      <c r="G464" s="12">
        <f>IF($B464="","",IF(COUNTIF(Cellar!$A$5:$A$31,$B464)=0,"NOT IN THE CELLAR","ok"))</f>
        <v/>
      </c>
    </row>
    <row r="465">
      <c r="A465" s="13" t="n"/>
      <c r="B465" s="18" t="n"/>
      <c r="C465" s="18" t="n"/>
      <c r="D465" s="19" t="n"/>
      <c r="E465" s="19" t="n"/>
      <c r="F465" s="17">
        <f>IF(OR($B465="",$D465=""),"",$D465*$E465)</f>
        <v/>
      </c>
      <c r="G465" s="12">
        <f>IF($B465="","",IF(COUNTIF(Cellar!$A$5:$A$31,$B465)=0,"NOT IN THE CELLAR","ok"))</f>
        <v/>
      </c>
    </row>
    <row r="466">
      <c r="A466" s="13" t="n"/>
      <c r="B466" s="18" t="n"/>
      <c r="C466" s="18" t="n"/>
      <c r="D466" s="19" t="n"/>
      <c r="E466" s="19" t="n"/>
      <c r="F466" s="17">
        <f>IF(OR($B466="",$D466=""),"",$D466*$E466)</f>
        <v/>
      </c>
      <c r="G466" s="12">
        <f>IF($B466="","",IF(COUNTIF(Cellar!$A$5:$A$31,$B466)=0,"NOT IN THE CELLAR","ok"))</f>
        <v/>
      </c>
    </row>
    <row r="467">
      <c r="A467" s="13" t="n"/>
      <c r="B467" s="18" t="n"/>
      <c r="C467" s="18" t="n"/>
      <c r="D467" s="19" t="n"/>
      <c r="E467" s="19" t="n"/>
      <c r="F467" s="17">
        <f>IF(OR($B467="",$D467=""),"",$D467*$E467)</f>
        <v/>
      </c>
      <c r="G467" s="12">
        <f>IF($B467="","",IF(COUNTIF(Cellar!$A$5:$A$31,$B467)=0,"NOT IN THE CELLAR","ok"))</f>
        <v/>
      </c>
    </row>
    <row r="468">
      <c r="A468" s="13" t="n"/>
      <c r="B468" s="18" t="n"/>
      <c r="C468" s="18" t="n"/>
      <c r="D468" s="19" t="n"/>
      <c r="E468" s="19" t="n"/>
      <c r="F468" s="17">
        <f>IF(OR($B468="",$D468=""),"",$D468*$E468)</f>
        <v/>
      </c>
      <c r="G468" s="12">
        <f>IF($B468="","",IF(COUNTIF(Cellar!$A$5:$A$31,$B468)=0,"NOT IN THE CELLAR","ok"))</f>
        <v/>
      </c>
    </row>
    <row r="469">
      <c r="A469" s="13" t="n"/>
      <c r="B469" s="18" t="n"/>
      <c r="C469" s="18" t="n"/>
      <c r="D469" s="19" t="n"/>
      <c r="E469" s="19" t="n"/>
      <c r="F469" s="17">
        <f>IF(OR($B469="",$D469=""),"",$D469*$E469)</f>
        <v/>
      </c>
      <c r="G469" s="12">
        <f>IF($B469="","",IF(COUNTIF(Cellar!$A$5:$A$31,$B469)=0,"NOT IN THE CELLAR","ok"))</f>
        <v/>
      </c>
    </row>
    <row r="470">
      <c r="A470" s="13" t="n"/>
      <c r="B470" s="18" t="n"/>
      <c r="C470" s="18" t="n"/>
      <c r="D470" s="19" t="n"/>
      <c r="E470" s="19" t="n"/>
      <c r="F470" s="17">
        <f>IF(OR($B470="",$D470=""),"",$D470*$E470)</f>
        <v/>
      </c>
      <c r="G470" s="12">
        <f>IF($B470="","",IF(COUNTIF(Cellar!$A$5:$A$31,$B470)=0,"NOT IN THE CELLAR","ok"))</f>
        <v/>
      </c>
    </row>
    <row r="471">
      <c r="A471" s="13" t="n"/>
      <c r="B471" s="18" t="n"/>
      <c r="C471" s="18" t="n"/>
      <c r="D471" s="19" t="n"/>
      <c r="E471" s="19" t="n"/>
      <c r="F471" s="17">
        <f>IF(OR($B471="",$D471=""),"",$D471*$E471)</f>
        <v/>
      </c>
      <c r="G471" s="12">
        <f>IF($B471="","",IF(COUNTIF(Cellar!$A$5:$A$31,$B471)=0,"NOT IN THE CELLAR","ok"))</f>
        <v/>
      </c>
    </row>
    <row r="472">
      <c r="A472" s="13" t="n"/>
      <c r="B472" s="18" t="n"/>
      <c r="C472" s="18" t="n"/>
      <c r="D472" s="19" t="n"/>
      <c r="E472" s="19" t="n"/>
      <c r="F472" s="17">
        <f>IF(OR($B472="",$D472=""),"",$D472*$E472)</f>
        <v/>
      </c>
      <c r="G472" s="12">
        <f>IF($B472="","",IF(COUNTIF(Cellar!$A$5:$A$31,$B472)=0,"NOT IN THE CELLAR","ok"))</f>
        <v/>
      </c>
    </row>
    <row r="473">
      <c r="A473" s="13" t="n"/>
      <c r="B473" s="18" t="n"/>
      <c r="C473" s="18" t="n"/>
      <c r="D473" s="19" t="n"/>
      <c r="E473" s="19" t="n"/>
      <c r="F473" s="17">
        <f>IF(OR($B473="",$D473=""),"",$D473*$E473)</f>
        <v/>
      </c>
      <c r="G473" s="12">
        <f>IF($B473="","",IF(COUNTIF(Cellar!$A$5:$A$31,$B473)=0,"NOT IN THE CELLAR","ok"))</f>
        <v/>
      </c>
    </row>
    <row r="474">
      <c r="A474" s="13" t="n"/>
      <c r="B474" s="18" t="n"/>
      <c r="C474" s="18" t="n"/>
      <c r="D474" s="19" t="n"/>
      <c r="E474" s="19" t="n"/>
      <c r="F474" s="17">
        <f>IF(OR($B474="",$D474=""),"",$D474*$E474)</f>
        <v/>
      </c>
      <c r="G474" s="12">
        <f>IF($B474="","",IF(COUNTIF(Cellar!$A$5:$A$31,$B474)=0,"NOT IN THE CELLAR","ok"))</f>
        <v/>
      </c>
    </row>
    <row r="475">
      <c r="A475" s="13" t="n"/>
      <c r="B475" s="18" t="n"/>
      <c r="C475" s="18" t="n"/>
      <c r="D475" s="19" t="n"/>
      <c r="E475" s="19" t="n"/>
      <c r="F475" s="17">
        <f>IF(OR($B475="",$D475=""),"",$D475*$E475)</f>
        <v/>
      </c>
      <c r="G475" s="12">
        <f>IF($B475="","",IF(COUNTIF(Cellar!$A$5:$A$31,$B475)=0,"NOT IN THE CELLAR","ok"))</f>
        <v/>
      </c>
    </row>
    <row r="476">
      <c r="A476" s="13" t="n"/>
      <c r="B476" s="18" t="n"/>
      <c r="C476" s="18" t="n"/>
      <c r="D476" s="19" t="n"/>
      <c r="E476" s="19" t="n"/>
      <c r="F476" s="17">
        <f>IF(OR($B476="",$D476=""),"",$D476*$E476)</f>
        <v/>
      </c>
      <c r="G476" s="12">
        <f>IF($B476="","",IF(COUNTIF(Cellar!$A$5:$A$31,$B476)=0,"NOT IN THE CELLAR","ok"))</f>
        <v/>
      </c>
    </row>
    <row r="477">
      <c r="A477" s="13" t="n"/>
      <c r="B477" s="18" t="n"/>
      <c r="C477" s="18" t="n"/>
      <c r="D477" s="19" t="n"/>
      <c r="E477" s="19" t="n"/>
      <c r="F477" s="17">
        <f>IF(OR($B477="",$D477=""),"",$D477*$E477)</f>
        <v/>
      </c>
      <c r="G477" s="12">
        <f>IF($B477="","",IF(COUNTIF(Cellar!$A$5:$A$31,$B477)=0,"NOT IN THE CELLAR","ok"))</f>
        <v/>
      </c>
    </row>
    <row r="478">
      <c r="A478" s="13" t="n"/>
      <c r="B478" s="18" t="n"/>
      <c r="C478" s="18" t="n"/>
      <c r="D478" s="19" t="n"/>
      <c r="E478" s="19" t="n"/>
      <c r="F478" s="17">
        <f>IF(OR($B478="",$D478=""),"",$D478*$E478)</f>
        <v/>
      </c>
      <c r="G478" s="12">
        <f>IF($B478="","",IF(COUNTIF(Cellar!$A$5:$A$31,$B478)=0,"NOT IN THE CELLAR","ok"))</f>
        <v/>
      </c>
    </row>
    <row r="479">
      <c r="A479" s="13" t="n"/>
      <c r="B479" s="18" t="n"/>
      <c r="C479" s="18" t="n"/>
      <c r="D479" s="19" t="n"/>
      <c r="E479" s="19" t="n"/>
      <c r="F479" s="17">
        <f>IF(OR($B479="",$D479=""),"",$D479*$E479)</f>
        <v/>
      </c>
      <c r="G479" s="12">
        <f>IF($B479="","",IF(COUNTIF(Cellar!$A$5:$A$31,$B479)=0,"NOT IN THE CELLAR","ok"))</f>
        <v/>
      </c>
    </row>
    <row r="480">
      <c r="A480" s="13" t="n"/>
      <c r="B480" s="18" t="n"/>
      <c r="C480" s="18" t="n"/>
      <c r="D480" s="19" t="n"/>
      <c r="E480" s="19" t="n"/>
      <c r="F480" s="17">
        <f>IF(OR($B480="",$D480=""),"",$D480*$E480)</f>
        <v/>
      </c>
      <c r="G480" s="12">
        <f>IF($B480="","",IF(COUNTIF(Cellar!$A$5:$A$31,$B480)=0,"NOT IN THE CELLAR","ok"))</f>
        <v/>
      </c>
    </row>
    <row r="481">
      <c r="A481" s="13" t="n"/>
      <c r="B481" s="18" t="n"/>
      <c r="C481" s="18" t="n"/>
      <c r="D481" s="19" t="n"/>
      <c r="E481" s="19" t="n"/>
      <c r="F481" s="17">
        <f>IF(OR($B481="",$D481=""),"",$D481*$E481)</f>
        <v/>
      </c>
      <c r="G481" s="12">
        <f>IF($B481="","",IF(COUNTIF(Cellar!$A$5:$A$31,$B481)=0,"NOT IN THE CELLAR","ok"))</f>
        <v/>
      </c>
    </row>
    <row r="482">
      <c r="A482" s="13" t="n"/>
      <c r="B482" s="18" t="n"/>
      <c r="C482" s="18" t="n"/>
      <c r="D482" s="19" t="n"/>
      <c r="E482" s="19" t="n"/>
      <c r="F482" s="17">
        <f>IF(OR($B482="",$D482=""),"",$D482*$E482)</f>
        <v/>
      </c>
      <c r="G482" s="12">
        <f>IF($B482="","",IF(COUNTIF(Cellar!$A$5:$A$31,$B482)=0,"NOT IN THE CELLAR","ok"))</f>
        <v/>
      </c>
    </row>
    <row r="483">
      <c r="A483" s="13" t="n"/>
      <c r="B483" s="18" t="n"/>
      <c r="C483" s="18" t="n"/>
      <c r="D483" s="19" t="n"/>
      <c r="E483" s="19" t="n"/>
      <c r="F483" s="17">
        <f>IF(OR($B483="",$D483=""),"",$D483*$E483)</f>
        <v/>
      </c>
      <c r="G483" s="12">
        <f>IF($B483="","",IF(COUNTIF(Cellar!$A$5:$A$31,$B483)=0,"NOT IN THE CELLAR","ok"))</f>
        <v/>
      </c>
    </row>
    <row r="484">
      <c r="A484" s="13" t="n"/>
      <c r="B484" s="18" t="n"/>
      <c r="C484" s="18" t="n"/>
      <c r="D484" s="19" t="n"/>
      <c r="E484" s="19" t="n"/>
      <c r="F484" s="17">
        <f>IF(OR($B484="",$D484=""),"",$D484*$E484)</f>
        <v/>
      </c>
      <c r="G484" s="12">
        <f>IF($B484="","",IF(COUNTIF(Cellar!$A$5:$A$31,$B484)=0,"NOT IN THE CELLAR","ok"))</f>
        <v/>
      </c>
    </row>
    <row r="485">
      <c r="A485" s="13" t="n"/>
      <c r="B485" s="18" t="n"/>
      <c r="C485" s="18" t="n"/>
      <c r="D485" s="19" t="n"/>
      <c r="E485" s="19" t="n"/>
      <c r="F485" s="17">
        <f>IF(OR($B485="",$D485=""),"",$D485*$E485)</f>
        <v/>
      </c>
      <c r="G485" s="12">
        <f>IF($B485="","",IF(COUNTIF(Cellar!$A$5:$A$31,$B485)=0,"NOT IN THE CELLAR","ok"))</f>
        <v/>
      </c>
    </row>
    <row r="486">
      <c r="A486" s="13" t="n"/>
      <c r="B486" s="18" t="n"/>
      <c r="C486" s="18" t="n"/>
      <c r="D486" s="19" t="n"/>
      <c r="E486" s="19" t="n"/>
      <c r="F486" s="17">
        <f>IF(OR($B486="",$D486=""),"",$D486*$E486)</f>
        <v/>
      </c>
      <c r="G486" s="12">
        <f>IF($B486="","",IF(COUNTIF(Cellar!$A$5:$A$31,$B486)=0,"NOT IN THE CELLAR","ok"))</f>
        <v/>
      </c>
    </row>
    <row r="487">
      <c r="A487" s="13" t="n"/>
      <c r="B487" s="18" t="n"/>
      <c r="C487" s="18" t="n"/>
      <c r="D487" s="19" t="n"/>
      <c r="E487" s="19" t="n"/>
      <c r="F487" s="17">
        <f>IF(OR($B487="",$D487=""),"",$D487*$E487)</f>
        <v/>
      </c>
      <c r="G487" s="12">
        <f>IF($B487="","",IF(COUNTIF(Cellar!$A$5:$A$31,$B487)=0,"NOT IN THE CELLAR","ok"))</f>
        <v/>
      </c>
    </row>
    <row r="488">
      <c r="A488" s="13" t="n"/>
      <c r="B488" s="18" t="n"/>
      <c r="C488" s="18" t="n"/>
      <c r="D488" s="19" t="n"/>
      <c r="E488" s="19" t="n"/>
      <c r="F488" s="17">
        <f>IF(OR($B488="",$D488=""),"",$D488*$E488)</f>
        <v/>
      </c>
      <c r="G488" s="12">
        <f>IF($B488="","",IF(COUNTIF(Cellar!$A$5:$A$31,$B488)=0,"NOT IN THE CELLAR","ok"))</f>
        <v/>
      </c>
    </row>
    <row r="489">
      <c r="A489" s="13" t="n"/>
      <c r="B489" s="18" t="n"/>
      <c r="C489" s="18" t="n"/>
      <c r="D489" s="19" t="n"/>
      <c r="E489" s="19" t="n"/>
      <c r="F489" s="17">
        <f>IF(OR($B489="",$D489=""),"",$D489*$E489)</f>
        <v/>
      </c>
      <c r="G489" s="12">
        <f>IF($B489="","",IF(COUNTIF(Cellar!$A$5:$A$31,$B489)=0,"NOT IN THE CELLAR","ok"))</f>
        <v/>
      </c>
    </row>
    <row r="490">
      <c r="A490" s="13" t="n"/>
      <c r="B490" s="18" t="n"/>
      <c r="C490" s="18" t="n"/>
      <c r="D490" s="19" t="n"/>
      <c r="E490" s="19" t="n"/>
      <c r="F490" s="17">
        <f>IF(OR($B490="",$D490=""),"",$D490*$E490)</f>
        <v/>
      </c>
      <c r="G490" s="12">
        <f>IF($B490="","",IF(COUNTIF(Cellar!$A$5:$A$31,$B490)=0,"NOT IN THE CELLAR","ok"))</f>
        <v/>
      </c>
    </row>
    <row r="491">
      <c r="A491" s="13" t="n"/>
      <c r="B491" s="18" t="n"/>
      <c r="C491" s="18" t="n"/>
      <c r="D491" s="19" t="n"/>
      <c r="E491" s="19" t="n"/>
      <c r="F491" s="17">
        <f>IF(OR($B491="",$D491=""),"",$D491*$E491)</f>
        <v/>
      </c>
      <c r="G491" s="12">
        <f>IF($B491="","",IF(COUNTIF(Cellar!$A$5:$A$31,$B491)=0,"NOT IN THE CELLAR","ok"))</f>
        <v/>
      </c>
    </row>
    <row r="492">
      <c r="A492" s="13" t="n"/>
      <c r="B492" s="18" t="n"/>
      <c r="C492" s="18" t="n"/>
      <c r="D492" s="19" t="n"/>
      <c r="E492" s="19" t="n"/>
      <c r="F492" s="17">
        <f>IF(OR($B492="",$D492=""),"",$D492*$E492)</f>
        <v/>
      </c>
      <c r="G492" s="12">
        <f>IF($B492="","",IF(COUNTIF(Cellar!$A$5:$A$31,$B492)=0,"NOT IN THE CELLAR","ok"))</f>
        <v/>
      </c>
    </row>
    <row r="493">
      <c r="A493" s="13" t="n"/>
      <c r="B493" s="18" t="n"/>
      <c r="C493" s="18" t="n"/>
      <c r="D493" s="19" t="n"/>
      <c r="E493" s="19" t="n"/>
      <c r="F493" s="17">
        <f>IF(OR($B493="",$D493=""),"",$D493*$E493)</f>
        <v/>
      </c>
      <c r="G493" s="12">
        <f>IF($B493="","",IF(COUNTIF(Cellar!$A$5:$A$31,$B493)=0,"NOT IN THE CELLAR","ok"))</f>
        <v/>
      </c>
    </row>
    <row r="494">
      <c r="A494" s="13" t="n"/>
      <c r="B494" s="18" t="n"/>
      <c r="C494" s="18" t="n"/>
      <c r="D494" s="19" t="n"/>
      <c r="E494" s="19" t="n"/>
      <c r="F494" s="17">
        <f>IF(OR($B494="",$D494=""),"",$D494*$E494)</f>
        <v/>
      </c>
      <c r="G494" s="12">
        <f>IF($B494="","",IF(COUNTIF(Cellar!$A$5:$A$31,$B494)=0,"NOT IN THE CELLAR","ok"))</f>
        <v/>
      </c>
    </row>
    <row r="495">
      <c r="A495" s="13" t="n"/>
      <c r="B495" s="18" t="n"/>
      <c r="C495" s="18" t="n"/>
      <c r="D495" s="19" t="n"/>
      <c r="E495" s="19" t="n"/>
      <c r="F495" s="17">
        <f>IF(OR($B495="",$D495=""),"",$D495*$E495)</f>
        <v/>
      </c>
      <c r="G495" s="12">
        <f>IF($B495="","",IF(COUNTIF(Cellar!$A$5:$A$31,$B495)=0,"NOT IN THE CELLAR","ok"))</f>
        <v/>
      </c>
    </row>
    <row r="496">
      <c r="A496" s="13" t="n"/>
      <c r="B496" s="18" t="n"/>
      <c r="C496" s="18" t="n"/>
      <c r="D496" s="19" t="n"/>
      <c r="E496" s="19" t="n"/>
      <c r="F496" s="17">
        <f>IF(OR($B496="",$D496=""),"",$D496*$E496)</f>
        <v/>
      </c>
      <c r="G496" s="12">
        <f>IF($B496="","",IF(COUNTIF(Cellar!$A$5:$A$31,$B496)=0,"NOT IN THE CELLAR","ok"))</f>
        <v/>
      </c>
    </row>
    <row r="497">
      <c r="A497" s="13" t="n"/>
      <c r="B497" s="18" t="n"/>
      <c r="C497" s="18" t="n"/>
      <c r="D497" s="19" t="n"/>
      <c r="E497" s="19" t="n"/>
      <c r="F497" s="17">
        <f>IF(OR($B497="",$D497=""),"",$D497*$E497)</f>
        <v/>
      </c>
      <c r="G497" s="12">
        <f>IF($B497="","",IF(COUNTIF(Cellar!$A$5:$A$31,$B497)=0,"NOT IN THE CELLAR","ok"))</f>
        <v/>
      </c>
    </row>
    <row r="498">
      <c r="A498" s="13" t="n"/>
      <c r="B498" s="18" t="n"/>
      <c r="C498" s="18" t="n"/>
      <c r="D498" s="19" t="n"/>
      <c r="E498" s="19" t="n"/>
      <c r="F498" s="17">
        <f>IF(OR($B498="",$D498=""),"",$D498*$E498)</f>
        <v/>
      </c>
      <c r="G498" s="12">
        <f>IF($B498="","",IF(COUNTIF(Cellar!$A$5:$A$31,$B498)=0,"NOT IN THE CELLAR","ok"))</f>
        <v/>
      </c>
    </row>
    <row r="499">
      <c r="A499" s="13" t="n"/>
      <c r="B499" s="18" t="n"/>
      <c r="C499" s="18" t="n"/>
      <c r="D499" s="19" t="n"/>
      <c r="E499" s="19" t="n"/>
      <c r="F499" s="17">
        <f>IF(OR($B499="",$D499=""),"",$D499*$E499)</f>
        <v/>
      </c>
      <c r="G499" s="12">
        <f>IF($B499="","",IF(COUNTIF(Cellar!$A$5:$A$31,$B499)=0,"NOT IN THE CELLAR","ok"))</f>
        <v/>
      </c>
    </row>
    <row r="500">
      <c r="A500" s="13" t="n"/>
      <c r="B500" s="18" t="n"/>
      <c r="C500" s="18" t="n"/>
      <c r="D500" s="19" t="n"/>
      <c r="E500" s="19" t="n"/>
      <c r="F500" s="17">
        <f>IF(OR($B500="",$D500=""),"",$D500*$E500)</f>
        <v/>
      </c>
      <c r="G500" s="12">
        <f>IF($B500="","",IF(COUNTIF(Cellar!$A$5:$A$31,$B500)=0,"NOT IN THE CELLAR","ok"))</f>
        <v/>
      </c>
    </row>
    <row r="501">
      <c r="A501" s="13" t="n"/>
      <c r="B501" s="18" t="n"/>
      <c r="C501" s="18" t="n"/>
      <c r="D501" s="19" t="n"/>
      <c r="E501" s="19" t="n"/>
      <c r="F501" s="17">
        <f>IF(OR($B501="",$D501=""),"",$D501*$E501)</f>
        <v/>
      </c>
      <c r="G501" s="12">
        <f>IF($B501="","",IF(COUNTIF(Cellar!$A$5:$A$31,$B501)=0,"NOT IN THE CELLAR","ok"))</f>
        <v/>
      </c>
    </row>
    <row r="502">
      <c r="A502" s="13" t="n"/>
      <c r="B502" s="18" t="n"/>
      <c r="C502" s="18" t="n"/>
      <c r="D502" s="19" t="n"/>
      <c r="E502" s="19" t="n"/>
      <c r="F502" s="17">
        <f>IF(OR($B502="",$D502=""),"",$D502*$E502)</f>
        <v/>
      </c>
      <c r="G502" s="12">
        <f>IF($B502="","",IF(COUNTIF(Cellar!$A$5:$A$31,$B502)=0,"NOT IN THE CELLAR","ok"))</f>
        <v/>
      </c>
    </row>
    <row r="503">
      <c r="A503" s="13" t="n"/>
      <c r="B503" s="18" t="n"/>
      <c r="C503" s="18" t="n"/>
      <c r="D503" s="19" t="n"/>
      <c r="E503" s="19" t="n"/>
      <c r="F503" s="17">
        <f>IF(OR($B503="",$D503=""),"",$D503*$E503)</f>
        <v/>
      </c>
      <c r="G503" s="12">
        <f>IF($B503="","",IF(COUNTIF(Cellar!$A$5:$A$31,$B503)=0,"NOT IN THE CELLAR","ok"))</f>
        <v/>
      </c>
    </row>
    <row r="504">
      <c r="A504" s="13" t="n"/>
      <c r="B504" s="18" t="n"/>
      <c r="C504" s="18" t="n"/>
      <c r="D504" s="19" t="n"/>
      <c r="E504" s="19" t="n"/>
      <c r="F504" s="17">
        <f>IF(OR($B504="",$D504=""),"",$D504*$E504)</f>
        <v/>
      </c>
      <c r="G504" s="12">
        <f>IF($B504="","",IF(COUNTIF(Cellar!$A$5:$A$31,$B504)=0,"NOT IN THE CELLAR","ok"))</f>
        <v/>
      </c>
    </row>
    <row r="505">
      <c r="A505" s="13" t="n"/>
      <c r="B505" s="18" t="n"/>
      <c r="C505" s="18" t="n"/>
      <c r="D505" s="19" t="n"/>
      <c r="E505" s="19" t="n"/>
      <c r="F505" s="17">
        <f>IF(OR($B505="",$D505=""),"",$D505*$E505)</f>
        <v/>
      </c>
      <c r="G505" s="12">
        <f>IF($B505="","",IF(COUNTIF(Cellar!$A$5:$A$31,$B505)=0,"NOT IN THE CELLAR","ok"))</f>
        <v/>
      </c>
    </row>
    <row r="506">
      <c r="A506" s="13" t="n"/>
      <c r="B506" s="18" t="n"/>
      <c r="C506" s="18" t="n"/>
      <c r="D506" s="19" t="n"/>
      <c r="E506" s="19" t="n"/>
      <c r="F506" s="17">
        <f>IF(OR($B506="",$D506=""),"",$D506*$E506)</f>
        <v/>
      </c>
      <c r="G506" s="12">
        <f>IF($B506="","",IF(COUNTIF(Cellar!$A$5:$A$31,$B506)=0,"NOT IN THE CELLAR","ok"))</f>
        <v/>
      </c>
    </row>
    <row r="507">
      <c r="A507" s="13" t="n"/>
      <c r="B507" s="18" t="n"/>
      <c r="C507" s="18" t="n"/>
      <c r="D507" s="19" t="n"/>
      <c r="E507" s="19" t="n"/>
      <c r="F507" s="17">
        <f>IF(OR($B507="",$D507=""),"",$D507*$E507)</f>
        <v/>
      </c>
      <c r="G507" s="12">
        <f>IF($B507="","",IF(COUNTIF(Cellar!$A$5:$A$31,$B507)=0,"NOT IN THE CELLAR","ok"))</f>
        <v/>
      </c>
    </row>
    <row r="508">
      <c r="A508" s="13" t="n"/>
      <c r="B508" s="18" t="n"/>
      <c r="C508" s="18" t="n"/>
      <c r="D508" s="19" t="n"/>
      <c r="E508" s="19" t="n"/>
      <c r="F508" s="17">
        <f>IF(OR($B508="",$D508=""),"",$D508*$E508)</f>
        <v/>
      </c>
      <c r="G508" s="12">
        <f>IF($B508="","",IF(COUNTIF(Cellar!$A$5:$A$31,$B508)=0,"NOT IN THE CELLAR","ok"))</f>
        <v/>
      </c>
    </row>
    <row r="509">
      <c r="A509" s="13" t="n"/>
      <c r="B509" s="18" t="n"/>
      <c r="C509" s="18" t="n"/>
      <c r="D509" s="19" t="n"/>
      <c r="E509" s="19" t="n"/>
      <c r="F509" s="17">
        <f>IF(OR($B509="",$D509=""),"",$D509*$E509)</f>
        <v/>
      </c>
      <c r="G509" s="12">
        <f>IF($B509="","",IF(COUNTIF(Cellar!$A$5:$A$31,$B509)=0,"NOT IN THE CELLAR","ok"))</f>
        <v/>
      </c>
    </row>
    <row r="510">
      <c r="A510" s="13" t="n"/>
      <c r="B510" s="18" t="n"/>
      <c r="C510" s="18" t="n"/>
      <c r="D510" s="19" t="n"/>
      <c r="E510" s="19" t="n"/>
      <c r="F510" s="17">
        <f>IF(OR($B510="",$D510=""),"",$D510*$E510)</f>
        <v/>
      </c>
      <c r="G510" s="12">
        <f>IF($B510="","",IF(COUNTIF(Cellar!$A$5:$A$31,$B510)=0,"NOT IN THE CELLAR","ok"))</f>
        <v/>
      </c>
    </row>
    <row r="511">
      <c r="A511" s="13" t="n"/>
      <c r="B511" s="18" t="n"/>
      <c r="C511" s="18" t="n"/>
      <c r="D511" s="19" t="n"/>
      <c r="E511" s="19" t="n"/>
      <c r="F511" s="17">
        <f>IF(OR($B511="",$D511=""),"",$D511*$E511)</f>
        <v/>
      </c>
      <c r="G511" s="12">
        <f>IF($B511="","",IF(COUNTIF(Cellar!$A$5:$A$31,$B511)=0,"NOT IN THE CELLAR","ok"))</f>
        <v/>
      </c>
    </row>
    <row r="512">
      <c r="A512" s="13" t="n"/>
      <c r="B512" s="18" t="n"/>
      <c r="C512" s="18" t="n"/>
      <c r="D512" s="19" t="n"/>
      <c r="E512" s="19" t="n"/>
      <c r="F512" s="17">
        <f>IF(OR($B512="",$D512=""),"",$D512*$E512)</f>
        <v/>
      </c>
      <c r="G512" s="12">
        <f>IF($B512="","",IF(COUNTIF(Cellar!$A$5:$A$31,$B512)=0,"NOT IN THE CELLAR","ok"))</f>
        <v/>
      </c>
    </row>
    <row r="513">
      <c r="A513" s="13" t="n"/>
      <c r="B513" s="18" t="n"/>
      <c r="C513" s="18" t="n"/>
      <c r="D513" s="19" t="n"/>
      <c r="E513" s="19" t="n"/>
      <c r="F513" s="17">
        <f>IF(OR($B513="",$D513=""),"",$D513*$E513)</f>
        <v/>
      </c>
      <c r="G513" s="12">
        <f>IF($B513="","",IF(COUNTIF(Cellar!$A$5:$A$31,$B513)=0,"NOT IN THE CELLAR","ok"))</f>
        <v/>
      </c>
    </row>
    <row r="514">
      <c r="A514" s="13" t="n"/>
      <c r="B514" s="18" t="n"/>
      <c r="C514" s="18" t="n"/>
      <c r="D514" s="19" t="n"/>
      <c r="E514" s="19" t="n"/>
      <c r="F514" s="17">
        <f>IF(OR($B514="",$D514=""),"",$D514*$E514)</f>
        <v/>
      </c>
      <c r="G514" s="12">
        <f>IF($B514="","",IF(COUNTIF(Cellar!$A$5:$A$31,$B514)=0,"NOT IN THE CELLAR","ok"))</f>
        <v/>
      </c>
    </row>
    <row r="515">
      <c r="A515" s="13" t="n"/>
      <c r="B515" s="18" t="n"/>
      <c r="C515" s="18" t="n"/>
      <c r="D515" s="19" t="n"/>
      <c r="E515" s="19" t="n"/>
      <c r="F515" s="17">
        <f>IF(OR($B515="",$D515=""),"",$D515*$E515)</f>
        <v/>
      </c>
      <c r="G515" s="12">
        <f>IF($B515="","",IF(COUNTIF(Cellar!$A$5:$A$31,$B515)=0,"NOT IN THE CELLAR","ok"))</f>
        <v/>
      </c>
    </row>
    <row r="516">
      <c r="A516" s="13" t="n"/>
      <c r="B516" s="18" t="n"/>
      <c r="C516" s="18" t="n"/>
      <c r="D516" s="19" t="n"/>
      <c r="E516" s="19" t="n"/>
      <c r="F516" s="17">
        <f>IF(OR($B516="",$D516=""),"",$D516*$E516)</f>
        <v/>
      </c>
      <c r="G516" s="12">
        <f>IF($B516="","",IF(COUNTIF(Cellar!$A$5:$A$31,$B516)=0,"NOT IN THE CELLAR","ok"))</f>
        <v/>
      </c>
    </row>
    <row r="517">
      <c r="A517" s="13" t="n"/>
      <c r="B517" s="18" t="n"/>
      <c r="C517" s="18" t="n"/>
      <c r="D517" s="19" t="n"/>
      <c r="E517" s="19" t="n"/>
      <c r="F517" s="17">
        <f>IF(OR($B517="",$D517=""),"",$D517*$E517)</f>
        <v/>
      </c>
      <c r="G517" s="12">
        <f>IF($B517="","",IF(COUNTIF(Cellar!$A$5:$A$31,$B517)=0,"NOT IN THE CELLAR","ok"))</f>
        <v/>
      </c>
    </row>
    <row r="518">
      <c r="A518" s="13" t="n"/>
      <c r="B518" s="18" t="n"/>
      <c r="C518" s="18" t="n"/>
      <c r="D518" s="19" t="n"/>
      <c r="E518" s="19" t="n"/>
      <c r="F518" s="17">
        <f>IF(OR($B518="",$D518=""),"",$D518*$E518)</f>
        <v/>
      </c>
      <c r="G518" s="12">
        <f>IF($B518="","",IF(COUNTIF(Cellar!$A$5:$A$31,$B518)=0,"NOT IN THE CELLAR","ok"))</f>
        <v/>
      </c>
    </row>
    <row r="519">
      <c r="A519" s="13" t="n"/>
      <c r="B519" s="18" t="n"/>
      <c r="C519" s="18" t="n"/>
      <c r="D519" s="19" t="n"/>
      <c r="E519" s="19" t="n"/>
      <c r="F519" s="17">
        <f>IF(OR($B519="",$D519=""),"",$D519*$E519)</f>
        <v/>
      </c>
      <c r="G519" s="12">
        <f>IF($B519="","",IF(COUNTIF(Cellar!$A$5:$A$31,$B519)=0,"NOT IN THE CELLAR","ok"))</f>
        <v/>
      </c>
    </row>
    <row r="520">
      <c r="A520" s="13" t="n"/>
      <c r="B520" s="18" t="n"/>
      <c r="C520" s="18" t="n"/>
      <c r="D520" s="19" t="n"/>
      <c r="E520" s="19" t="n"/>
      <c r="F520" s="17">
        <f>IF(OR($B520="",$D520=""),"",$D520*$E520)</f>
        <v/>
      </c>
      <c r="G520" s="12">
        <f>IF($B520="","",IF(COUNTIF(Cellar!$A$5:$A$31,$B520)=0,"NOT IN THE CELLAR","ok"))</f>
        <v/>
      </c>
    </row>
    <row r="521">
      <c r="A521" s="13" t="n"/>
      <c r="B521" s="18" t="n"/>
      <c r="C521" s="18" t="n"/>
      <c r="D521" s="19" t="n"/>
      <c r="E521" s="19" t="n"/>
      <c r="F521" s="17">
        <f>IF(OR($B521="",$D521=""),"",$D521*$E521)</f>
        <v/>
      </c>
      <c r="G521" s="12">
        <f>IF($B521="","",IF(COUNTIF(Cellar!$A$5:$A$31,$B521)=0,"NOT IN THE CELLAR","ok"))</f>
        <v/>
      </c>
    </row>
    <row r="522">
      <c r="A522" s="13" t="n"/>
      <c r="B522" s="18" t="n"/>
      <c r="C522" s="18" t="n"/>
      <c r="D522" s="19" t="n"/>
      <c r="E522" s="19" t="n"/>
      <c r="F522" s="17">
        <f>IF(OR($B522="",$D522=""),"",$D522*$E522)</f>
        <v/>
      </c>
      <c r="G522" s="12">
        <f>IF($B522="","",IF(COUNTIF(Cellar!$A$5:$A$31,$B522)=0,"NOT IN THE CELLAR","ok"))</f>
        <v/>
      </c>
    </row>
    <row r="523">
      <c r="A523" s="13" t="n"/>
      <c r="B523" s="18" t="n"/>
      <c r="C523" s="18" t="n"/>
      <c r="D523" s="19" t="n"/>
      <c r="E523" s="19" t="n"/>
      <c r="F523" s="17">
        <f>IF(OR($B523="",$D523=""),"",$D523*$E523)</f>
        <v/>
      </c>
      <c r="G523" s="12">
        <f>IF($B523="","",IF(COUNTIF(Cellar!$A$5:$A$31,$B523)=0,"NOT IN THE CELLAR","ok"))</f>
        <v/>
      </c>
    </row>
    <row r="524">
      <c r="A524" s="13" t="n"/>
      <c r="B524" s="18" t="n"/>
      <c r="C524" s="18" t="n"/>
      <c r="D524" s="19" t="n"/>
      <c r="E524" s="19" t="n"/>
      <c r="F524" s="17">
        <f>IF(OR($B524="",$D524=""),"",$D524*$E524)</f>
        <v/>
      </c>
      <c r="G524" s="12">
        <f>IF($B524="","",IF(COUNTIF(Cellar!$A$5:$A$31,$B524)=0,"NOT IN THE CELLAR","ok"))</f>
        <v/>
      </c>
    </row>
    <row r="525">
      <c r="A525" s="13" t="n"/>
      <c r="B525" s="18" t="n"/>
      <c r="C525" s="18" t="n"/>
      <c r="D525" s="19" t="n"/>
      <c r="E525" s="19" t="n"/>
      <c r="F525" s="17">
        <f>IF(OR($B525="",$D525=""),"",$D525*$E525)</f>
        <v/>
      </c>
      <c r="G525" s="12">
        <f>IF($B525="","",IF(COUNTIF(Cellar!$A$5:$A$31,$B525)=0,"NOT IN THE CELLAR","ok"))</f>
        <v/>
      </c>
    </row>
    <row r="526">
      <c r="A526" s="13" t="n"/>
      <c r="B526" s="18" t="n"/>
      <c r="C526" s="18" t="n"/>
      <c r="D526" s="19" t="n"/>
      <c r="E526" s="19" t="n"/>
      <c r="F526" s="17">
        <f>IF(OR($B526="",$D526=""),"",$D526*$E526)</f>
        <v/>
      </c>
      <c r="G526" s="12">
        <f>IF($B526="","",IF(COUNTIF(Cellar!$A$5:$A$31,$B526)=0,"NOT IN THE CELLAR","ok"))</f>
        <v/>
      </c>
    </row>
    <row r="527">
      <c r="A527" s="13" t="n"/>
      <c r="B527" s="18" t="n"/>
      <c r="C527" s="18" t="n"/>
      <c r="D527" s="19" t="n"/>
      <c r="E527" s="19" t="n"/>
      <c r="F527" s="17">
        <f>IF(OR($B527="",$D527=""),"",$D527*$E527)</f>
        <v/>
      </c>
      <c r="G527" s="12">
        <f>IF($B527="","",IF(COUNTIF(Cellar!$A$5:$A$31,$B527)=0,"NOT IN THE CELLAR","ok"))</f>
        <v/>
      </c>
    </row>
    <row r="528">
      <c r="A528" s="13" t="n"/>
      <c r="B528" s="18" t="n"/>
      <c r="C528" s="18" t="n"/>
      <c r="D528" s="19" t="n"/>
      <c r="E528" s="19" t="n"/>
      <c r="F528" s="17">
        <f>IF(OR($B528="",$D528=""),"",$D528*$E528)</f>
        <v/>
      </c>
      <c r="G528" s="12">
        <f>IF($B528="","",IF(COUNTIF(Cellar!$A$5:$A$31,$B528)=0,"NOT IN THE CELLAR","ok"))</f>
        <v/>
      </c>
    </row>
    <row r="529">
      <c r="A529" s="13" t="n"/>
      <c r="B529" s="18" t="n"/>
      <c r="C529" s="18" t="n"/>
      <c r="D529" s="19" t="n"/>
      <c r="E529" s="19" t="n"/>
      <c r="F529" s="17">
        <f>IF(OR($B529="",$D529=""),"",$D529*$E529)</f>
        <v/>
      </c>
      <c r="G529" s="12">
        <f>IF($B529="","",IF(COUNTIF(Cellar!$A$5:$A$31,$B529)=0,"NOT IN THE CELLAR","ok"))</f>
        <v/>
      </c>
    </row>
    <row r="530">
      <c r="A530" s="13" t="n"/>
      <c r="B530" s="18" t="n"/>
      <c r="C530" s="18" t="n"/>
      <c r="D530" s="19" t="n"/>
      <c r="E530" s="19" t="n"/>
      <c r="F530" s="17">
        <f>IF(OR($B530="",$D530=""),"",$D530*$E530)</f>
        <v/>
      </c>
      <c r="G530" s="12">
        <f>IF($B530="","",IF(COUNTIF(Cellar!$A$5:$A$31,$B530)=0,"NOT IN THE CELLAR","ok"))</f>
        <v/>
      </c>
    </row>
    <row r="531">
      <c r="A531" s="13" t="n"/>
      <c r="B531" s="18" t="n"/>
      <c r="C531" s="18" t="n"/>
      <c r="D531" s="19" t="n"/>
      <c r="E531" s="19" t="n"/>
      <c r="F531" s="17">
        <f>IF(OR($B531="",$D531=""),"",$D531*$E531)</f>
        <v/>
      </c>
      <c r="G531" s="12">
        <f>IF($B531="","",IF(COUNTIF(Cellar!$A$5:$A$31,$B531)=0,"NOT IN THE CELLAR","ok"))</f>
        <v/>
      </c>
    </row>
    <row r="532">
      <c r="A532" s="13" t="n"/>
      <c r="B532" s="18" t="n"/>
      <c r="C532" s="18" t="n"/>
      <c r="D532" s="19" t="n"/>
      <c r="E532" s="19" t="n"/>
      <c r="F532" s="17">
        <f>IF(OR($B532="",$D532=""),"",$D532*$E532)</f>
        <v/>
      </c>
      <c r="G532" s="12">
        <f>IF($B532="","",IF(COUNTIF(Cellar!$A$5:$A$31,$B532)=0,"NOT IN THE CELLAR","ok"))</f>
        <v/>
      </c>
    </row>
    <row r="533">
      <c r="A533" s="13" t="n"/>
      <c r="B533" s="18" t="n"/>
      <c r="C533" s="18" t="n"/>
      <c r="D533" s="19" t="n"/>
      <c r="E533" s="19" t="n"/>
      <c r="F533" s="17">
        <f>IF(OR($B533="",$D533=""),"",$D533*$E533)</f>
        <v/>
      </c>
      <c r="G533" s="12">
        <f>IF($B533="","",IF(COUNTIF(Cellar!$A$5:$A$31,$B533)=0,"NOT IN THE CELLAR","ok"))</f>
        <v/>
      </c>
    </row>
    <row r="534">
      <c r="A534" s="13" t="n"/>
      <c r="B534" s="18" t="n"/>
      <c r="C534" s="18" t="n"/>
      <c r="D534" s="19" t="n"/>
      <c r="E534" s="19" t="n"/>
      <c r="F534" s="17">
        <f>IF(OR($B534="",$D534=""),"",$D534*$E534)</f>
        <v/>
      </c>
      <c r="G534" s="12">
        <f>IF($B534="","",IF(COUNTIF(Cellar!$A$5:$A$31,$B534)=0,"NOT IN THE CELLAR","ok"))</f>
        <v/>
      </c>
    </row>
    <row r="535">
      <c r="A535" s="13" t="n"/>
      <c r="B535" s="18" t="n"/>
      <c r="C535" s="18" t="n"/>
      <c r="D535" s="19" t="n"/>
      <c r="E535" s="19" t="n"/>
      <c r="F535" s="17">
        <f>IF(OR($B535="",$D535=""),"",$D535*$E535)</f>
        <v/>
      </c>
      <c r="G535" s="12">
        <f>IF($B535="","",IF(COUNTIF(Cellar!$A$5:$A$31,$B535)=0,"NOT IN THE CELLAR","ok"))</f>
        <v/>
      </c>
    </row>
    <row r="536">
      <c r="A536" s="13" t="n"/>
      <c r="B536" s="18" t="n"/>
      <c r="C536" s="18" t="n"/>
      <c r="D536" s="19" t="n"/>
      <c r="E536" s="19" t="n"/>
      <c r="F536" s="17">
        <f>IF(OR($B536="",$D536=""),"",$D536*$E536)</f>
        <v/>
      </c>
      <c r="G536" s="12">
        <f>IF($B536="","",IF(COUNTIF(Cellar!$A$5:$A$31,$B536)=0,"NOT IN THE CELLAR","ok"))</f>
        <v/>
      </c>
    </row>
    <row r="537">
      <c r="A537" s="13" t="n"/>
      <c r="B537" s="18" t="n"/>
      <c r="C537" s="18" t="n"/>
      <c r="D537" s="19" t="n"/>
      <c r="E537" s="19" t="n"/>
      <c r="F537" s="17">
        <f>IF(OR($B537="",$D537=""),"",$D537*$E537)</f>
        <v/>
      </c>
      <c r="G537" s="12">
        <f>IF($B537="","",IF(COUNTIF(Cellar!$A$5:$A$31,$B537)=0,"NOT IN THE CELLAR","ok"))</f>
        <v/>
      </c>
    </row>
    <row r="538">
      <c r="A538" s="13" t="n"/>
      <c r="B538" s="18" t="n"/>
      <c r="C538" s="18" t="n"/>
      <c r="D538" s="19" t="n"/>
      <c r="E538" s="19" t="n"/>
      <c r="F538" s="17">
        <f>IF(OR($B538="",$D538=""),"",$D538*$E538)</f>
        <v/>
      </c>
      <c r="G538" s="12">
        <f>IF($B538="","",IF(COUNTIF(Cellar!$A$5:$A$31,$B538)=0,"NOT IN THE CELLAR","ok"))</f>
        <v/>
      </c>
    </row>
    <row r="539">
      <c r="A539" s="13" t="n"/>
      <c r="B539" s="18" t="n"/>
      <c r="C539" s="18" t="n"/>
      <c r="D539" s="19" t="n"/>
      <c r="E539" s="19" t="n"/>
      <c r="F539" s="17">
        <f>IF(OR($B539="",$D539=""),"",$D539*$E539)</f>
        <v/>
      </c>
      <c r="G539" s="12">
        <f>IF($B539="","",IF(COUNTIF(Cellar!$A$5:$A$31,$B539)=0,"NOT IN THE CELLAR","ok"))</f>
        <v/>
      </c>
    </row>
    <row r="540">
      <c r="A540" s="13" t="n"/>
      <c r="B540" s="18" t="n"/>
      <c r="C540" s="18" t="n"/>
      <c r="D540" s="19" t="n"/>
      <c r="E540" s="19" t="n"/>
      <c r="F540" s="17">
        <f>IF(OR($B540="",$D540=""),"",$D540*$E540)</f>
        <v/>
      </c>
      <c r="G540" s="12">
        <f>IF($B540="","",IF(COUNTIF(Cellar!$A$5:$A$31,$B540)=0,"NOT IN THE CELLAR","ok"))</f>
        <v/>
      </c>
    </row>
    <row r="541">
      <c r="A541" s="13" t="n"/>
      <c r="B541" s="18" t="n"/>
      <c r="C541" s="18" t="n"/>
      <c r="D541" s="19" t="n"/>
      <c r="E541" s="19" t="n"/>
      <c r="F541" s="17">
        <f>IF(OR($B541="",$D541=""),"",$D541*$E541)</f>
        <v/>
      </c>
      <c r="G541" s="12">
        <f>IF($B541="","",IF(COUNTIF(Cellar!$A$5:$A$31,$B541)=0,"NOT IN THE CELLAR","ok"))</f>
        <v/>
      </c>
    </row>
    <row r="542">
      <c r="A542" s="13" t="n"/>
      <c r="B542" s="18" t="n"/>
      <c r="C542" s="18" t="n"/>
      <c r="D542" s="19" t="n"/>
      <c r="E542" s="19" t="n"/>
      <c r="F542" s="17">
        <f>IF(OR($B542="",$D542=""),"",$D542*$E542)</f>
        <v/>
      </c>
      <c r="G542" s="12">
        <f>IF($B542="","",IF(COUNTIF(Cellar!$A$5:$A$31,$B542)=0,"NOT IN THE CELLAR","ok"))</f>
        <v/>
      </c>
    </row>
    <row r="543">
      <c r="A543" s="13" t="n"/>
      <c r="B543" s="18" t="n"/>
      <c r="C543" s="18" t="n"/>
      <c r="D543" s="19" t="n"/>
      <c r="E543" s="19" t="n"/>
      <c r="F543" s="17">
        <f>IF(OR($B543="",$D543=""),"",$D543*$E543)</f>
        <v/>
      </c>
      <c r="G543" s="12">
        <f>IF($B543="","",IF(COUNTIF(Cellar!$A$5:$A$31,$B543)=0,"NOT IN THE CELLAR","ok"))</f>
        <v/>
      </c>
    </row>
    <row r="544">
      <c r="A544" s="13" t="n"/>
      <c r="B544" s="18" t="n"/>
      <c r="C544" s="18" t="n"/>
      <c r="D544" s="19" t="n"/>
      <c r="E544" s="19" t="n"/>
      <c r="F544" s="17">
        <f>IF(OR($B544="",$D544=""),"",$D544*$E544)</f>
        <v/>
      </c>
      <c r="G544" s="12">
        <f>IF($B544="","",IF(COUNTIF(Cellar!$A$5:$A$31,$B544)=0,"NOT IN THE CELLAR","ok"))</f>
        <v/>
      </c>
    </row>
    <row r="545">
      <c r="A545" s="13" t="n"/>
      <c r="B545" s="18" t="n"/>
      <c r="C545" s="18" t="n"/>
      <c r="D545" s="19" t="n"/>
      <c r="E545" s="19" t="n"/>
      <c r="F545" s="17">
        <f>IF(OR($B545="",$D545=""),"",$D545*$E545)</f>
        <v/>
      </c>
      <c r="G545" s="12">
        <f>IF($B545="","",IF(COUNTIF(Cellar!$A$5:$A$31,$B545)=0,"NOT IN THE CELLAR","ok"))</f>
        <v/>
      </c>
    </row>
    <row r="546">
      <c r="A546" s="13" t="n"/>
      <c r="B546" s="18" t="n"/>
      <c r="C546" s="18" t="n"/>
      <c r="D546" s="19" t="n"/>
      <c r="E546" s="19" t="n"/>
      <c r="F546" s="17">
        <f>IF(OR($B546="",$D546=""),"",$D546*$E546)</f>
        <v/>
      </c>
      <c r="G546" s="12">
        <f>IF($B546="","",IF(COUNTIF(Cellar!$A$5:$A$31,$B546)=0,"NOT IN THE CELLAR","ok"))</f>
        <v/>
      </c>
    </row>
    <row r="547">
      <c r="A547" s="13" t="n"/>
      <c r="B547" s="18" t="n"/>
      <c r="C547" s="18" t="n"/>
      <c r="D547" s="19" t="n"/>
      <c r="E547" s="19" t="n"/>
      <c r="F547" s="17">
        <f>IF(OR($B547="",$D547=""),"",$D547*$E547)</f>
        <v/>
      </c>
      <c r="G547" s="12">
        <f>IF($B547="","",IF(COUNTIF(Cellar!$A$5:$A$31,$B547)=0,"NOT IN THE CELLAR","ok"))</f>
        <v/>
      </c>
    </row>
    <row r="548">
      <c r="A548" s="13" t="n"/>
      <c r="B548" s="18" t="n"/>
      <c r="C548" s="18" t="n"/>
      <c r="D548" s="19" t="n"/>
      <c r="E548" s="19" t="n"/>
      <c r="F548" s="17">
        <f>IF(OR($B548="",$D548=""),"",$D548*$E548)</f>
        <v/>
      </c>
      <c r="G548" s="12">
        <f>IF($B548="","",IF(COUNTIF(Cellar!$A$5:$A$31,$B548)=0,"NOT IN THE CELLAR","ok"))</f>
        <v/>
      </c>
    </row>
    <row r="549">
      <c r="A549" s="13" t="n"/>
      <c r="B549" s="18" t="n"/>
      <c r="C549" s="18" t="n"/>
      <c r="D549" s="19" t="n"/>
      <c r="E549" s="19" t="n"/>
      <c r="F549" s="17">
        <f>IF(OR($B549="",$D549=""),"",$D549*$E549)</f>
        <v/>
      </c>
      <c r="G549" s="12">
        <f>IF($B549="","",IF(COUNTIF(Cellar!$A$5:$A$31,$B549)=0,"NOT IN THE CELLAR","ok"))</f>
        <v/>
      </c>
    </row>
    <row r="550">
      <c r="A550" s="13" t="n"/>
      <c r="B550" s="18" t="n"/>
      <c r="C550" s="18" t="n"/>
      <c r="D550" s="19" t="n"/>
      <c r="E550" s="19" t="n"/>
      <c r="F550" s="17">
        <f>IF(OR($B550="",$D550=""),"",$D550*$E550)</f>
        <v/>
      </c>
      <c r="G550" s="12">
        <f>IF($B550="","",IF(COUNTIF(Cellar!$A$5:$A$31,$B550)=0,"NOT IN THE CELLAR","ok"))</f>
        <v/>
      </c>
    </row>
    <row r="551">
      <c r="A551" s="13" t="n"/>
      <c r="B551" s="18" t="n"/>
      <c r="C551" s="18" t="n"/>
      <c r="D551" s="19" t="n"/>
      <c r="E551" s="19" t="n"/>
      <c r="F551" s="17">
        <f>IF(OR($B551="",$D551=""),"",$D551*$E551)</f>
        <v/>
      </c>
      <c r="G551" s="12">
        <f>IF($B551="","",IF(COUNTIF(Cellar!$A$5:$A$31,$B551)=0,"NOT IN THE CELLAR","ok"))</f>
        <v/>
      </c>
    </row>
    <row r="552">
      <c r="A552" s="13" t="n"/>
      <c r="B552" s="18" t="n"/>
      <c r="C552" s="18" t="n"/>
      <c r="D552" s="19" t="n"/>
      <c r="E552" s="19" t="n"/>
      <c r="F552" s="17">
        <f>IF(OR($B552="",$D552=""),"",$D552*$E552)</f>
        <v/>
      </c>
      <c r="G552" s="12">
        <f>IF($B552="","",IF(COUNTIF(Cellar!$A$5:$A$31,$B552)=0,"NOT IN THE CELLAR","ok"))</f>
        <v/>
      </c>
    </row>
    <row r="553">
      <c r="A553" s="13" t="n"/>
      <c r="B553" s="18" t="n"/>
      <c r="C553" s="18" t="n"/>
      <c r="D553" s="19" t="n"/>
      <c r="E553" s="19" t="n"/>
      <c r="F553" s="17">
        <f>IF(OR($B553="",$D553=""),"",$D553*$E553)</f>
        <v/>
      </c>
      <c r="G553" s="12">
        <f>IF($B553="","",IF(COUNTIF(Cellar!$A$5:$A$31,$B553)=0,"NOT IN THE CELLAR","ok"))</f>
        <v/>
      </c>
    </row>
    <row r="554">
      <c r="A554" s="13" t="n"/>
      <c r="B554" s="18" t="n"/>
      <c r="C554" s="18" t="n"/>
      <c r="D554" s="19" t="n"/>
      <c r="E554" s="19" t="n"/>
      <c r="F554" s="17">
        <f>IF(OR($B554="",$D554=""),"",$D554*$E554)</f>
        <v/>
      </c>
      <c r="G554" s="12">
        <f>IF($B554="","",IF(COUNTIF(Cellar!$A$5:$A$31,$B554)=0,"NOT IN THE CELLAR","ok"))</f>
        <v/>
      </c>
    </row>
    <row r="555">
      <c r="A555" s="13" t="n"/>
      <c r="B555" s="18" t="n"/>
      <c r="C555" s="18" t="n"/>
      <c r="D555" s="19" t="n"/>
      <c r="E555" s="19" t="n"/>
      <c r="F555" s="17">
        <f>IF(OR($B555="",$D555=""),"",$D555*$E555)</f>
        <v/>
      </c>
      <c r="G555" s="12">
        <f>IF($B555="","",IF(COUNTIF(Cellar!$A$5:$A$31,$B555)=0,"NOT IN THE CELLAR","ok"))</f>
        <v/>
      </c>
    </row>
    <row r="556">
      <c r="A556" s="13" t="n"/>
      <c r="B556" s="18" t="n"/>
      <c r="C556" s="18" t="n"/>
      <c r="D556" s="19" t="n"/>
      <c r="E556" s="19" t="n"/>
      <c r="F556" s="17">
        <f>IF(OR($B556="",$D556=""),"",$D556*$E556)</f>
        <v/>
      </c>
      <c r="G556" s="12">
        <f>IF($B556="","",IF(COUNTIF(Cellar!$A$5:$A$31,$B556)=0,"NOT IN THE CELLAR","ok"))</f>
        <v/>
      </c>
    </row>
    <row r="557">
      <c r="A557" s="13" t="n"/>
      <c r="B557" s="18" t="n"/>
      <c r="C557" s="18" t="n"/>
      <c r="D557" s="19" t="n"/>
      <c r="E557" s="19" t="n"/>
      <c r="F557" s="17">
        <f>IF(OR($B557="",$D557=""),"",$D557*$E557)</f>
        <v/>
      </c>
      <c r="G557" s="12">
        <f>IF($B557="","",IF(COUNTIF(Cellar!$A$5:$A$31,$B557)=0,"NOT IN THE CELLAR","ok"))</f>
        <v/>
      </c>
    </row>
    <row r="558">
      <c r="A558" s="13" t="n"/>
      <c r="B558" s="18" t="n"/>
      <c r="C558" s="18" t="n"/>
      <c r="D558" s="19" t="n"/>
      <c r="E558" s="19" t="n"/>
      <c r="F558" s="17">
        <f>IF(OR($B558="",$D558=""),"",$D558*$E558)</f>
        <v/>
      </c>
      <c r="G558" s="12">
        <f>IF($B558="","",IF(COUNTIF(Cellar!$A$5:$A$31,$B558)=0,"NOT IN THE CELLAR","ok"))</f>
        <v/>
      </c>
    </row>
    <row r="559">
      <c r="A559" s="13" t="n"/>
      <c r="B559" s="18" t="n"/>
      <c r="C559" s="18" t="n"/>
      <c r="D559" s="19" t="n"/>
      <c r="E559" s="19" t="n"/>
      <c r="F559" s="17">
        <f>IF(OR($B559="",$D559=""),"",$D559*$E559)</f>
        <v/>
      </c>
      <c r="G559" s="12">
        <f>IF($B559="","",IF(COUNTIF(Cellar!$A$5:$A$31,$B559)=0,"NOT IN THE CELLAR","ok"))</f>
        <v/>
      </c>
    </row>
    <row r="560">
      <c r="A560" s="13" t="n"/>
      <c r="B560" s="18" t="n"/>
      <c r="C560" s="18" t="n"/>
      <c r="D560" s="19" t="n"/>
      <c r="E560" s="19" t="n"/>
      <c r="F560" s="17">
        <f>IF(OR($B560="",$D560=""),"",$D560*$E560)</f>
        <v/>
      </c>
      <c r="G560" s="12">
        <f>IF($B560="","",IF(COUNTIF(Cellar!$A$5:$A$31,$B560)=0,"NOT IN THE CELLAR","ok"))</f>
        <v/>
      </c>
    </row>
    <row r="561">
      <c r="A561" s="13" t="n"/>
      <c r="B561" s="18" t="n"/>
      <c r="C561" s="18" t="n"/>
      <c r="D561" s="19" t="n"/>
      <c r="E561" s="19" t="n"/>
      <c r="F561" s="17">
        <f>IF(OR($B561="",$D561=""),"",$D561*$E561)</f>
        <v/>
      </c>
      <c r="G561" s="12">
        <f>IF($B561="","",IF(COUNTIF(Cellar!$A$5:$A$31,$B561)=0,"NOT IN THE CELLAR","ok"))</f>
        <v/>
      </c>
    </row>
    <row r="562">
      <c r="A562" s="13" t="n"/>
      <c r="B562" s="18" t="n"/>
      <c r="C562" s="18" t="n"/>
      <c r="D562" s="19" t="n"/>
      <c r="E562" s="19" t="n"/>
      <c r="F562" s="17">
        <f>IF(OR($B562="",$D562=""),"",$D562*$E562)</f>
        <v/>
      </c>
      <c r="G562" s="12">
        <f>IF($B562="","",IF(COUNTIF(Cellar!$A$5:$A$31,$B562)=0,"NOT IN THE CELLAR","ok"))</f>
        <v/>
      </c>
    </row>
    <row r="563">
      <c r="A563" s="13" t="n"/>
      <c r="B563" s="18" t="n"/>
      <c r="C563" s="18" t="n"/>
      <c r="D563" s="19" t="n"/>
      <c r="E563" s="19" t="n"/>
      <c r="F563" s="17">
        <f>IF(OR($B563="",$D563=""),"",$D563*$E563)</f>
        <v/>
      </c>
      <c r="G563" s="12">
        <f>IF($B563="","",IF(COUNTIF(Cellar!$A$5:$A$31,$B563)=0,"NOT IN THE CELLAR","ok"))</f>
        <v/>
      </c>
    </row>
    <row r="564">
      <c r="A564" s="13" t="n"/>
      <c r="B564" s="18" t="n"/>
      <c r="C564" s="18" t="n"/>
      <c r="D564" s="19" t="n"/>
      <c r="E564" s="19" t="n"/>
      <c r="F564" s="17">
        <f>IF(OR($B564="",$D564=""),"",$D564*$E564)</f>
        <v/>
      </c>
      <c r="G564" s="12">
        <f>IF($B564="","",IF(COUNTIF(Cellar!$A$5:$A$31,$B564)=0,"NOT IN THE CELLAR","ok"))</f>
        <v/>
      </c>
    </row>
    <row r="565">
      <c r="A565" s="13" t="n"/>
      <c r="B565" s="18" t="n"/>
      <c r="C565" s="18" t="n"/>
      <c r="D565" s="19" t="n"/>
      <c r="E565" s="19" t="n"/>
      <c r="F565" s="17">
        <f>IF(OR($B565="",$D565=""),"",$D565*$E565)</f>
        <v/>
      </c>
      <c r="G565" s="12">
        <f>IF($B565="","",IF(COUNTIF(Cellar!$A$5:$A$31,$B565)=0,"NOT IN THE CELLAR","ok"))</f>
        <v/>
      </c>
    </row>
    <row r="566">
      <c r="A566" s="13" t="n"/>
      <c r="B566" s="18" t="n"/>
      <c r="C566" s="18" t="n"/>
      <c r="D566" s="19" t="n"/>
      <c r="E566" s="19" t="n"/>
      <c r="F566" s="17">
        <f>IF(OR($B566="",$D566=""),"",$D566*$E566)</f>
        <v/>
      </c>
      <c r="G566" s="12">
        <f>IF($B566="","",IF(COUNTIF(Cellar!$A$5:$A$31,$B566)=0,"NOT IN THE CELLAR","ok"))</f>
        <v/>
      </c>
    </row>
    <row r="567">
      <c r="A567" s="13" t="n"/>
      <c r="B567" s="18" t="n"/>
      <c r="C567" s="18" t="n"/>
      <c r="D567" s="19" t="n"/>
      <c r="E567" s="19" t="n"/>
      <c r="F567" s="17">
        <f>IF(OR($B567="",$D567=""),"",$D567*$E567)</f>
        <v/>
      </c>
      <c r="G567" s="12">
        <f>IF($B567="","",IF(COUNTIF(Cellar!$A$5:$A$31,$B567)=0,"NOT IN THE CELLAR","ok"))</f>
        <v/>
      </c>
    </row>
    <row r="568">
      <c r="A568" s="13" t="n"/>
      <c r="B568" s="18" t="n"/>
      <c r="C568" s="18" t="n"/>
      <c r="D568" s="19" t="n"/>
      <c r="E568" s="19" t="n"/>
      <c r="F568" s="17">
        <f>IF(OR($B568="",$D568=""),"",$D568*$E568)</f>
        <v/>
      </c>
      <c r="G568" s="12">
        <f>IF($B568="","",IF(COUNTIF(Cellar!$A$5:$A$31,$B568)=0,"NOT IN THE CELLAR","ok"))</f>
        <v/>
      </c>
    </row>
    <row r="569">
      <c r="A569" s="13" t="n"/>
      <c r="B569" s="18" t="n"/>
      <c r="C569" s="18" t="n"/>
      <c r="D569" s="19" t="n"/>
      <c r="E569" s="19" t="n"/>
      <c r="F569" s="17">
        <f>IF(OR($B569="",$D569=""),"",$D569*$E569)</f>
        <v/>
      </c>
      <c r="G569" s="12">
        <f>IF($B569="","",IF(COUNTIF(Cellar!$A$5:$A$31,$B569)=0,"NOT IN THE CELLAR","ok"))</f>
        <v/>
      </c>
    </row>
    <row r="570">
      <c r="A570" s="13" t="n"/>
      <c r="B570" s="18" t="n"/>
      <c r="C570" s="18" t="n"/>
      <c r="D570" s="19" t="n"/>
      <c r="E570" s="19" t="n"/>
      <c r="F570" s="17">
        <f>IF(OR($B570="",$D570=""),"",$D570*$E570)</f>
        <v/>
      </c>
      <c r="G570" s="12">
        <f>IF($B570="","",IF(COUNTIF(Cellar!$A$5:$A$31,$B570)=0,"NOT IN THE CELLAR","ok"))</f>
        <v/>
      </c>
    </row>
    <row r="571">
      <c r="A571" s="13" t="n"/>
      <c r="B571" s="18" t="n"/>
      <c r="C571" s="18" t="n"/>
      <c r="D571" s="19" t="n"/>
      <c r="E571" s="19" t="n"/>
      <c r="F571" s="17">
        <f>IF(OR($B571="",$D571=""),"",$D571*$E571)</f>
        <v/>
      </c>
      <c r="G571" s="12">
        <f>IF($B571="","",IF(COUNTIF(Cellar!$A$5:$A$31,$B571)=0,"NOT IN THE CELLAR","ok"))</f>
        <v/>
      </c>
    </row>
    <row r="572">
      <c r="A572" s="13" t="n"/>
      <c r="B572" s="18" t="n"/>
      <c r="C572" s="18" t="n"/>
      <c r="D572" s="19" t="n"/>
      <c r="E572" s="19" t="n"/>
      <c r="F572" s="17">
        <f>IF(OR($B572="",$D572=""),"",$D572*$E572)</f>
        <v/>
      </c>
      <c r="G572" s="12">
        <f>IF($B572="","",IF(COUNTIF(Cellar!$A$5:$A$31,$B572)=0,"NOT IN THE CELLAR","ok"))</f>
        <v/>
      </c>
    </row>
    <row r="573">
      <c r="A573" s="13" t="n"/>
      <c r="B573" s="18" t="n"/>
      <c r="C573" s="18" t="n"/>
      <c r="D573" s="19" t="n"/>
      <c r="E573" s="19" t="n"/>
      <c r="F573" s="17">
        <f>IF(OR($B573="",$D573=""),"",$D573*$E573)</f>
        <v/>
      </c>
      <c r="G573" s="12">
        <f>IF($B573="","",IF(COUNTIF(Cellar!$A$5:$A$31,$B573)=0,"NOT IN THE CELLAR","ok"))</f>
        <v/>
      </c>
    </row>
    <row r="574">
      <c r="A574" s="13" t="n"/>
      <c r="B574" s="18" t="n"/>
      <c r="C574" s="18" t="n"/>
      <c r="D574" s="19" t="n"/>
      <c r="E574" s="19" t="n"/>
      <c r="F574" s="17">
        <f>IF(OR($B574="",$D574=""),"",$D574*$E574)</f>
        <v/>
      </c>
      <c r="G574" s="12">
        <f>IF($B574="","",IF(COUNTIF(Cellar!$A$5:$A$31,$B574)=0,"NOT IN THE CELLAR","ok"))</f>
        <v/>
      </c>
    </row>
    <row r="575">
      <c r="A575" s="13" t="n"/>
      <c r="B575" s="18" t="n"/>
      <c r="C575" s="18" t="n"/>
      <c r="D575" s="19" t="n"/>
      <c r="E575" s="19" t="n"/>
      <c r="F575" s="17">
        <f>IF(OR($B575="",$D575=""),"",$D575*$E575)</f>
        <v/>
      </c>
      <c r="G575" s="12">
        <f>IF($B575="","",IF(COUNTIF(Cellar!$A$5:$A$31,$B575)=0,"NOT IN THE CELLAR","ok"))</f>
        <v/>
      </c>
    </row>
    <row r="576">
      <c r="A576" s="13" t="n"/>
      <c r="B576" s="18" t="n"/>
      <c r="C576" s="18" t="n"/>
      <c r="D576" s="19" t="n"/>
      <c r="E576" s="19" t="n"/>
      <c r="F576" s="17">
        <f>IF(OR($B576="",$D576=""),"",$D576*$E576)</f>
        <v/>
      </c>
      <c r="G576" s="12">
        <f>IF($B576="","",IF(COUNTIF(Cellar!$A$5:$A$31,$B576)=0,"NOT IN THE CELLAR","ok"))</f>
        <v/>
      </c>
    </row>
    <row r="577">
      <c r="A577" s="13" t="n"/>
      <c r="B577" s="18" t="n"/>
      <c r="C577" s="18" t="n"/>
      <c r="D577" s="19" t="n"/>
      <c r="E577" s="19" t="n"/>
      <c r="F577" s="17">
        <f>IF(OR($B577="",$D577=""),"",$D577*$E577)</f>
        <v/>
      </c>
      <c r="G577" s="12">
        <f>IF($B577="","",IF(COUNTIF(Cellar!$A$5:$A$31,$B577)=0,"NOT IN THE CELLAR","ok"))</f>
        <v/>
      </c>
    </row>
    <row r="578">
      <c r="A578" s="13" t="n"/>
      <c r="B578" s="18" t="n"/>
      <c r="C578" s="18" t="n"/>
      <c r="D578" s="19" t="n"/>
      <c r="E578" s="19" t="n"/>
      <c r="F578" s="17">
        <f>IF(OR($B578="",$D578=""),"",$D578*$E578)</f>
        <v/>
      </c>
      <c r="G578" s="12">
        <f>IF($B578="","",IF(COUNTIF(Cellar!$A$5:$A$31,$B578)=0,"NOT IN THE CELLAR","ok"))</f>
        <v/>
      </c>
    </row>
    <row r="579">
      <c r="A579" s="13" t="n"/>
      <c r="B579" s="18" t="n"/>
      <c r="C579" s="18" t="n"/>
      <c r="D579" s="19" t="n"/>
      <c r="E579" s="19" t="n"/>
      <c r="F579" s="17">
        <f>IF(OR($B579="",$D579=""),"",$D579*$E579)</f>
        <v/>
      </c>
      <c r="G579" s="12">
        <f>IF($B579="","",IF(COUNTIF(Cellar!$A$5:$A$31,$B579)=0,"NOT IN THE CELLAR","ok"))</f>
        <v/>
      </c>
    </row>
    <row r="580">
      <c r="A580" s="13" t="n"/>
      <c r="B580" s="18" t="n"/>
      <c r="C580" s="18" t="n"/>
      <c r="D580" s="19" t="n"/>
      <c r="E580" s="19" t="n"/>
      <c r="F580" s="17">
        <f>IF(OR($B580="",$D580=""),"",$D580*$E580)</f>
        <v/>
      </c>
      <c r="G580" s="12">
        <f>IF($B580="","",IF(COUNTIF(Cellar!$A$5:$A$31,$B580)=0,"NOT IN THE CELLAR","ok"))</f>
        <v/>
      </c>
    </row>
    <row r="581">
      <c r="A581" s="13" t="n"/>
      <c r="B581" s="18" t="n"/>
      <c r="C581" s="18" t="n"/>
      <c r="D581" s="19" t="n"/>
      <c r="E581" s="19" t="n"/>
      <c r="F581" s="17">
        <f>IF(OR($B581="",$D581=""),"",$D581*$E581)</f>
        <v/>
      </c>
      <c r="G581" s="12">
        <f>IF($B581="","",IF(COUNTIF(Cellar!$A$5:$A$31,$B581)=0,"NOT IN THE CELLAR","ok"))</f>
        <v/>
      </c>
    </row>
    <row r="582">
      <c r="A582" s="13" t="n"/>
      <c r="B582" s="18" t="n"/>
      <c r="C582" s="18" t="n"/>
      <c r="D582" s="19" t="n"/>
      <c r="E582" s="19" t="n"/>
      <c r="F582" s="17">
        <f>IF(OR($B582="",$D582=""),"",$D582*$E582)</f>
        <v/>
      </c>
      <c r="G582" s="12">
        <f>IF($B582="","",IF(COUNTIF(Cellar!$A$5:$A$31,$B582)=0,"NOT IN THE CELLAR","ok"))</f>
        <v/>
      </c>
    </row>
    <row r="583">
      <c r="A583" s="13" t="n"/>
      <c r="B583" s="18" t="n"/>
      <c r="C583" s="18" t="n"/>
      <c r="D583" s="19" t="n"/>
      <c r="E583" s="19" t="n"/>
      <c r="F583" s="17">
        <f>IF(OR($B583="",$D583=""),"",$D583*$E583)</f>
        <v/>
      </c>
      <c r="G583" s="12">
        <f>IF($B583="","",IF(COUNTIF(Cellar!$A$5:$A$31,$B583)=0,"NOT IN THE CELLAR","ok"))</f>
        <v/>
      </c>
    </row>
    <row r="584">
      <c r="A584" s="13" t="n"/>
      <c r="B584" s="18" t="n"/>
      <c r="C584" s="18" t="n"/>
      <c r="D584" s="19" t="n"/>
      <c r="E584" s="19" t="n"/>
      <c r="F584" s="17">
        <f>IF(OR($B584="",$D584=""),"",$D584*$E584)</f>
        <v/>
      </c>
      <c r="G584" s="12">
        <f>IF($B584="","",IF(COUNTIF(Cellar!$A$5:$A$31,$B584)=0,"NOT IN THE CELLAR","ok"))</f>
        <v/>
      </c>
    </row>
    <row r="585">
      <c r="A585" s="13" t="n"/>
      <c r="B585" s="18" t="n"/>
      <c r="C585" s="18" t="n"/>
      <c r="D585" s="19" t="n"/>
      <c r="E585" s="19" t="n"/>
      <c r="F585" s="17">
        <f>IF(OR($B585="",$D585=""),"",$D585*$E585)</f>
        <v/>
      </c>
      <c r="G585" s="12">
        <f>IF($B585="","",IF(COUNTIF(Cellar!$A$5:$A$31,$B585)=0,"NOT IN THE CELLAR","ok"))</f>
        <v/>
      </c>
    </row>
    <row r="586">
      <c r="A586" s="13" t="n"/>
      <c r="B586" s="18" t="n"/>
      <c r="C586" s="18" t="n"/>
      <c r="D586" s="19" t="n"/>
      <c r="E586" s="19" t="n"/>
      <c r="F586" s="17">
        <f>IF(OR($B586="",$D586=""),"",$D586*$E586)</f>
        <v/>
      </c>
      <c r="G586" s="12">
        <f>IF($B586="","",IF(COUNTIF(Cellar!$A$5:$A$31,$B586)=0,"NOT IN THE CELLAR","ok"))</f>
        <v/>
      </c>
    </row>
    <row r="587">
      <c r="A587" s="13" t="n"/>
      <c r="B587" s="18" t="n"/>
      <c r="C587" s="18" t="n"/>
      <c r="D587" s="19" t="n"/>
      <c r="E587" s="19" t="n"/>
      <c r="F587" s="17">
        <f>IF(OR($B587="",$D587=""),"",$D587*$E587)</f>
        <v/>
      </c>
      <c r="G587" s="12">
        <f>IF($B587="","",IF(COUNTIF(Cellar!$A$5:$A$31,$B587)=0,"NOT IN THE CELLAR","ok"))</f>
        <v/>
      </c>
    </row>
    <row r="588">
      <c r="A588" s="13" t="n"/>
      <c r="B588" s="18" t="n"/>
      <c r="C588" s="18" t="n"/>
      <c r="D588" s="19" t="n"/>
      <c r="E588" s="19" t="n"/>
      <c r="F588" s="17">
        <f>IF(OR($B588="",$D588=""),"",$D588*$E588)</f>
        <v/>
      </c>
      <c r="G588" s="12">
        <f>IF($B588="","",IF(COUNTIF(Cellar!$A$5:$A$31,$B588)=0,"NOT IN THE CELLAR","ok"))</f>
        <v/>
      </c>
    </row>
    <row r="589">
      <c r="A589" s="13" t="n"/>
      <c r="B589" s="18" t="n"/>
      <c r="C589" s="18" t="n"/>
      <c r="D589" s="19" t="n"/>
      <c r="E589" s="19" t="n"/>
      <c r="F589" s="17">
        <f>IF(OR($B589="",$D589=""),"",$D589*$E589)</f>
        <v/>
      </c>
      <c r="G589" s="12">
        <f>IF($B589="","",IF(COUNTIF(Cellar!$A$5:$A$31,$B589)=0,"NOT IN THE CELLAR","ok"))</f>
        <v/>
      </c>
    </row>
    <row r="590">
      <c r="A590" s="13" t="n"/>
      <c r="B590" s="18" t="n"/>
      <c r="C590" s="18" t="n"/>
      <c r="D590" s="19" t="n"/>
      <c r="E590" s="19" t="n"/>
      <c r="F590" s="17">
        <f>IF(OR($B590="",$D590=""),"",$D590*$E590)</f>
        <v/>
      </c>
      <c r="G590" s="12">
        <f>IF($B590="","",IF(COUNTIF(Cellar!$A$5:$A$31,$B590)=0,"NOT IN THE CELLAR","ok"))</f>
        <v/>
      </c>
    </row>
    <row r="591">
      <c r="A591" s="13" t="n"/>
      <c r="B591" s="18" t="n"/>
      <c r="C591" s="18" t="n"/>
      <c r="D591" s="19" t="n"/>
      <c r="E591" s="19" t="n"/>
      <c r="F591" s="17">
        <f>IF(OR($B591="",$D591=""),"",$D591*$E591)</f>
        <v/>
      </c>
      <c r="G591" s="12">
        <f>IF($B591="","",IF(COUNTIF(Cellar!$A$5:$A$31,$B591)=0,"NOT IN THE CELLAR","ok"))</f>
        <v/>
      </c>
    </row>
    <row r="592">
      <c r="A592" s="13" t="n"/>
      <c r="B592" s="18" t="n"/>
      <c r="C592" s="18" t="n"/>
      <c r="D592" s="19" t="n"/>
      <c r="E592" s="19" t="n"/>
      <c r="F592" s="17">
        <f>IF(OR($B592="",$D592=""),"",$D592*$E592)</f>
        <v/>
      </c>
      <c r="G592" s="12">
        <f>IF($B592="","",IF(COUNTIF(Cellar!$A$5:$A$31,$B592)=0,"NOT IN THE CELLAR","ok"))</f>
        <v/>
      </c>
    </row>
    <row r="593">
      <c r="A593" s="13" t="n"/>
      <c r="B593" s="18" t="n"/>
      <c r="C593" s="18" t="n"/>
      <c r="D593" s="19" t="n"/>
      <c r="E593" s="19" t="n"/>
      <c r="F593" s="17">
        <f>IF(OR($B593="",$D593=""),"",$D593*$E593)</f>
        <v/>
      </c>
      <c r="G593" s="12">
        <f>IF($B593="","",IF(COUNTIF(Cellar!$A$5:$A$31,$B593)=0,"NOT IN THE CELLAR","ok"))</f>
        <v/>
      </c>
    </row>
    <row r="594">
      <c r="A594" s="13" t="n"/>
      <c r="B594" s="18" t="n"/>
      <c r="C594" s="18" t="n"/>
      <c r="D594" s="19" t="n"/>
      <c r="E594" s="19" t="n"/>
      <c r="F594" s="17">
        <f>IF(OR($B594="",$D594=""),"",$D594*$E594)</f>
        <v/>
      </c>
      <c r="G594" s="12">
        <f>IF($B594="","",IF(COUNTIF(Cellar!$A$5:$A$31,$B594)=0,"NOT IN THE CELLAR","ok"))</f>
        <v/>
      </c>
    </row>
    <row r="595">
      <c r="A595" s="13" t="n"/>
      <c r="B595" s="18" t="n"/>
      <c r="C595" s="18" t="n"/>
      <c r="D595" s="19" t="n"/>
      <c r="E595" s="19" t="n"/>
      <c r="F595" s="17">
        <f>IF(OR($B595="",$D595=""),"",$D595*$E595)</f>
        <v/>
      </c>
      <c r="G595" s="12">
        <f>IF($B595="","",IF(COUNTIF(Cellar!$A$5:$A$31,$B595)=0,"NOT IN THE CELLAR","ok"))</f>
        <v/>
      </c>
    </row>
    <row r="596">
      <c r="A596" s="13" t="n"/>
      <c r="B596" s="18" t="n"/>
      <c r="C596" s="18" t="n"/>
      <c r="D596" s="19" t="n"/>
      <c r="E596" s="19" t="n"/>
      <c r="F596" s="17">
        <f>IF(OR($B596="",$D596=""),"",$D596*$E596)</f>
        <v/>
      </c>
      <c r="G596" s="12">
        <f>IF($B596="","",IF(COUNTIF(Cellar!$A$5:$A$31,$B596)=0,"NOT IN THE CELLAR","ok"))</f>
        <v/>
      </c>
    </row>
    <row r="597">
      <c r="A597" s="13" t="n"/>
      <c r="B597" s="18" t="n"/>
      <c r="C597" s="18" t="n"/>
      <c r="D597" s="19" t="n"/>
      <c r="E597" s="19" t="n"/>
      <c r="F597" s="17">
        <f>IF(OR($B597="",$D597=""),"",$D597*$E597)</f>
        <v/>
      </c>
      <c r="G597" s="12">
        <f>IF($B597="","",IF(COUNTIF(Cellar!$A$5:$A$31,$B597)=0,"NOT IN THE CELLAR","ok"))</f>
        <v/>
      </c>
    </row>
    <row r="598">
      <c r="A598" s="13" t="n"/>
      <c r="B598" s="18" t="n"/>
      <c r="C598" s="18" t="n"/>
      <c r="D598" s="19" t="n"/>
      <c r="E598" s="19" t="n"/>
      <c r="F598" s="17">
        <f>IF(OR($B598="",$D598=""),"",$D598*$E598)</f>
        <v/>
      </c>
      <c r="G598" s="12">
        <f>IF($B598="","",IF(COUNTIF(Cellar!$A$5:$A$31,$B598)=0,"NOT IN THE CELLAR","ok"))</f>
        <v/>
      </c>
    </row>
    <row r="599">
      <c r="A599" s="13" t="n"/>
      <c r="B599" s="18" t="n"/>
      <c r="C599" s="18" t="n"/>
      <c r="D599" s="19" t="n"/>
      <c r="E599" s="19" t="n"/>
      <c r="F599" s="17">
        <f>IF(OR($B599="",$D599=""),"",$D599*$E599)</f>
        <v/>
      </c>
      <c r="G599" s="12">
        <f>IF($B599="","",IF(COUNTIF(Cellar!$A$5:$A$31,$B599)=0,"NOT IN THE CELLAR","ok"))</f>
        <v/>
      </c>
    </row>
    <row r="600">
      <c r="A600" s="13" t="n"/>
      <c r="B600" s="18" t="n"/>
      <c r="C600" s="18" t="n"/>
      <c r="D600" s="19" t="n"/>
      <c r="E600" s="19" t="n"/>
      <c r="F600" s="17">
        <f>IF(OR($B600="",$D600=""),"",$D600*$E600)</f>
        <v/>
      </c>
      <c r="G600" s="12">
        <f>IF($B600="","",IF(COUNTIF(Cellar!$A$5:$A$31,$B600)=0,"NOT IN THE CELLAR","ok"))</f>
        <v/>
      </c>
    </row>
    <row r="601">
      <c r="A601" s="13" t="n"/>
      <c r="B601" s="18" t="n"/>
      <c r="C601" s="18" t="n"/>
      <c r="D601" s="19" t="n"/>
      <c r="E601" s="19" t="n"/>
      <c r="F601" s="17">
        <f>IF(OR($B601="",$D601=""),"",$D601*$E601)</f>
        <v/>
      </c>
      <c r="G601" s="12">
        <f>IF($B601="","",IF(COUNTIF(Cellar!$A$5:$A$31,$B601)=0,"NOT IN THE CELLAR","ok"))</f>
        <v/>
      </c>
    </row>
    <row r="602">
      <c r="A602" s="13" t="n"/>
      <c r="B602" s="18" t="n"/>
      <c r="C602" s="18" t="n"/>
      <c r="D602" s="19" t="n"/>
      <c r="E602" s="19" t="n"/>
      <c r="F602" s="17">
        <f>IF(OR($B602="",$D602=""),"",$D602*$E602)</f>
        <v/>
      </c>
      <c r="G602" s="12">
        <f>IF($B602="","",IF(COUNTIF(Cellar!$A$5:$A$31,$B602)=0,"NOT IN THE CELLAR","ok"))</f>
        <v/>
      </c>
    </row>
    <row r="603">
      <c r="A603" s="13" t="n"/>
      <c r="B603" s="18" t="n"/>
      <c r="C603" s="18" t="n"/>
      <c r="D603" s="19" t="n"/>
      <c r="E603" s="19" t="n"/>
      <c r="F603" s="17">
        <f>IF(OR($B603="",$D603=""),"",$D603*$E603)</f>
        <v/>
      </c>
      <c r="G603" s="12">
        <f>IF($B603="","",IF(COUNTIF(Cellar!$A$5:$A$31,$B603)=0,"NOT IN THE CELLAR","ok"))</f>
        <v/>
      </c>
    </row>
    <row r="604">
      <c r="A604" s="13" t="n"/>
      <c r="B604" s="18" t="n"/>
      <c r="C604" s="18" t="n"/>
      <c r="D604" s="19" t="n"/>
      <c r="E604" s="19" t="n"/>
      <c r="F604" s="17">
        <f>IF(OR($B604="",$D604=""),"",$D604*$E604)</f>
        <v/>
      </c>
      <c r="G604" s="12">
        <f>IF($B604="","",IF(COUNTIF(Cellar!$A$5:$A$31,$B604)=0,"NOT IN THE CELLAR","ok"))</f>
        <v/>
      </c>
    </row>
    <row r="605">
      <c r="A605" s="13" t="n"/>
      <c r="B605" s="18" t="n"/>
      <c r="C605" s="18" t="n"/>
      <c r="D605" s="19" t="n"/>
      <c r="E605" s="19" t="n"/>
      <c r="F605" s="17">
        <f>IF(OR($B605="",$D605=""),"",$D605*$E605)</f>
        <v/>
      </c>
      <c r="G605" s="12">
        <f>IF($B605="","",IF(COUNTIF(Cellar!$A$5:$A$31,$B605)=0,"NOT IN THE CELLAR","ok"))</f>
        <v/>
      </c>
    </row>
    <row r="606">
      <c r="A606" s="13" t="n"/>
      <c r="B606" s="18" t="n"/>
      <c r="C606" s="18" t="n"/>
      <c r="D606" s="19" t="n"/>
      <c r="E606" s="19" t="n"/>
      <c r="F606" s="17">
        <f>IF(OR($B606="",$D606=""),"",$D606*$E606)</f>
        <v/>
      </c>
      <c r="G606" s="12">
        <f>IF($B606="","",IF(COUNTIF(Cellar!$A$5:$A$31,$B606)=0,"NOT IN THE CELLAR","ok"))</f>
        <v/>
      </c>
    </row>
    <row r="607">
      <c r="A607" s="13" t="n"/>
      <c r="B607" s="18" t="n"/>
      <c r="C607" s="18" t="n"/>
      <c r="D607" s="19" t="n"/>
      <c r="E607" s="19" t="n"/>
      <c r="F607" s="17">
        <f>IF(OR($B607="",$D607=""),"",$D607*$E607)</f>
        <v/>
      </c>
      <c r="G607" s="12">
        <f>IF($B607="","",IF(COUNTIF(Cellar!$A$5:$A$31,$B607)=0,"NOT IN THE CELLAR","ok"))</f>
        <v/>
      </c>
    </row>
    <row r="608">
      <c r="A608" s="13" t="n"/>
      <c r="B608" s="18" t="n"/>
      <c r="C608" s="18" t="n"/>
      <c r="D608" s="19" t="n"/>
      <c r="E608" s="19" t="n"/>
      <c r="F608" s="17">
        <f>IF(OR($B608="",$D608=""),"",$D608*$E608)</f>
        <v/>
      </c>
      <c r="G608" s="12">
        <f>IF($B608="","",IF(COUNTIF(Cellar!$A$5:$A$31,$B608)=0,"NOT IN THE CELLAR","ok"))</f>
        <v/>
      </c>
    </row>
    <row r="609">
      <c r="A609" s="13" t="n"/>
      <c r="B609" s="18" t="n"/>
      <c r="C609" s="18" t="n"/>
      <c r="D609" s="19" t="n"/>
      <c r="E609" s="19" t="n"/>
      <c r="F609" s="17">
        <f>IF(OR($B609="",$D609=""),"",$D609*$E609)</f>
        <v/>
      </c>
      <c r="G609" s="12">
        <f>IF($B609="","",IF(COUNTIF(Cellar!$A$5:$A$31,$B609)=0,"NOT IN THE CELLAR","ok"))</f>
        <v/>
      </c>
    </row>
    <row r="610">
      <c r="A610" s="13" t="n"/>
      <c r="B610" s="18" t="n"/>
      <c r="C610" s="18" t="n"/>
      <c r="D610" s="19" t="n"/>
      <c r="E610" s="19" t="n"/>
      <c r="F610" s="17">
        <f>IF(OR($B610="",$D610=""),"",$D610*$E610)</f>
        <v/>
      </c>
      <c r="G610" s="12">
        <f>IF($B610="","",IF(COUNTIF(Cellar!$A$5:$A$31,$B610)=0,"NOT IN THE CELLAR","ok"))</f>
        <v/>
      </c>
    </row>
    <row r="611">
      <c r="A611" s="13" t="n"/>
      <c r="B611" s="18" t="n"/>
      <c r="C611" s="18" t="n"/>
      <c r="D611" s="19" t="n"/>
      <c r="E611" s="19" t="n"/>
      <c r="F611" s="17">
        <f>IF(OR($B611="",$D611=""),"",$D611*$E611)</f>
        <v/>
      </c>
      <c r="G611" s="12">
        <f>IF($B611="","",IF(COUNTIF(Cellar!$A$5:$A$31,$B611)=0,"NOT IN THE CELLAR","ok"))</f>
        <v/>
      </c>
    </row>
    <row r="612">
      <c r="A612" s="13" t="n"/>
      <c r="B612" s="18" t="n"/>
      <c r="C612" s="18" t="n"/>
      <c r="D612" s="19" t="n"/>
      <c r="E612" s="19" t="n"/>
      <c r="F612" s="17">
        <f>IF(OR($B612="",$D612=""),"",$D612*$E612)</f>
        <v/>
      </c>
      <c r="G612" s="12">
        <f>IF($B612="","",IF(COUNTIF(Cellar!$A$5:$A$31,$B612)=0,"NOT IN THE CELLAR","ok"))</f>
        <v/>
      </c>
    </row>
    <row r="613">
      <c r="A613" s="13" t="n"/>
      <c r="B613" s="18" t="n"/>
      <c r="C613" s="18" t="n"/>
      <c r="D613" s="19" t="n"/>
      <c r="E613" s="19" t="n"/>
      <c r="F613" s="17">
        <f>IF(OR($B613="",$D613=""),"",$D613*$E613)</f>
        <v/>
      </c>
      <c r="G613" s="12">
        <f>IF($B613="","",IF(COUNTIF(Cellar!$A$5:$A$31,$B613)=0,"NOT IN THE CELLAR","ok"))</f>
        <v/>
      </c>
    </row>
    <row r="614">
      <c r="A614" s="13" t="n"/>
      <c r="B614" s="18" t="n"/>
      <c r="C614" s="18" t="n"/>
      <c r="D614" s="19" t="n"/>
      <c r="E614" s="19" t="n"/>
      <c r="F614" s="17">
        <f>IF(OR($B614="",$D614=""),"",$D614*$E614)</f>
        <v/>
      </c>
      <c r="G614" s="12">
        <f>IF($B614="","",IF(COUNTIF(Cellar!$A$5:$A$31,$B614)=0,"NOT IN THE CELLAR","ok"))</f>
        <v/>
      </c>
    </row>
    <row r="615">
      <c r="A615" s="13" t="n"/>
      <c r="B615" s="18" t="n"/>
      <c r="C615" s="18" t="n"/>
      <c r="D615" s="19" t="n"/>
      <c r="E615" s="19" t="n"/>
      <c r="F615" s="17">
        <f>IF(OR($B615="",$D615=""),"",$D615*$E615)</f>
        <v/>
      </c>
      <c r="G615" s="12">
        <f>IF($B615="","",IF(COUNTIF(Cellar!$A$5:$A$31,$B615)=0,"NOT IN THE CELLAR","ok"))</f>
        <v/>
      </c>
    </row>
    <row r="616">
      <c r="A616" s="13" t="n"/>
      <c r="B616" s="18" t="n"/>
      <c r="C616" s="18" t="n"/>
      <c r="D616" s="19" t="n"/>
      <c r="E616" s="19" t="n"/>
      <c r="F616" s="17">
        <f>IF(OR($B616="",$D616=""),"",$D616*$E616)</f>
        <v/>
      </c>
      <c r="G616" s="12">
        <f>IF($B616="","",IF(COUNTIF(Cellar!$A$5:$A$31,$B616)=0,"NOT IN THE CELLAR","ok"))</f>
        <v/>
      </c>
    </row>
    <row r="617">
      <c r="A617" s="13" t="n"/>
      <c r="B617" s="18" t="n"/>
      <c r="C617" s="18" t="n"/>
      <c r="D617" s="19" t="n"/>
      <c r="E617" s="19" t="n"/>
      <c r="F617" s="17">
        <f>IF(OR($B617="",$D617=""),"",$D617*$E617)</f>
        <v/>
      </c>
      <c r="G617" s="12">
        <f>IF($B617="","",IF(COUNTIF(Cellar!$A$5:$A$31,$B617)=0,"NOT IN THE CELLAR","ok"))</f>
        <v/>
      </c>
    </row>
    <row r="618">
      <c r="A618" s="13" t="n"/>
      <c r="B618" s="18" t="n"/>
      <c r="C618" s="18" t="n"/>
      <c r="D618" s="19" t="n"/>
      <c r="E618" s="19" t="n"/>
      <c r="F618" s="17">
        <f>IF(OR($B618="",$D618=""),"",$D618*$E618)</f>
        <v/>
      </c>
      <c r="G618" s="12">
        <f>IF($B618="","",IF(COUNTIF(Cellar!$A$5:$A$31,$B618)=0,"NOT IN THE CELLAR","ok"))</f>
        <v/>
      </c>
    </row>
    <row r="619">
      <c r="A619" s="13" t="n"/>
      <c r="B619" s="18" t="n"/>
      <c r="C619" s="18" t="n"/>
      <c r="D619" s="19" t="n"/>
      <c r="E619" s="19" t="n"/>
      <c r="F619" s="17">
        <f>IF(OR($B619="",$D619=""),"",$D619*$E619)</f>
        <v/>
      </c>
      <c r="G619" s="12">
        <f>IF($B619="","",IF(COUNTIF(Cellar!$A$5:$A$31,$B619)=0,"NOT IN THE CELLAR","ok"))</f>
        <v/>
      </c>
    </row>
    <row r="620">
      <c r="A620" s="13" t="n"/>
      <c r="B620" s="18" t="n"/>
      <c r="C620" s="18" t="n"/>
      <c r="D620" s="19" t="n"/>
      <c r="E620" s="19" t="n"/>
      <c r="F620" s="17">
        <f>IF(OR($B620="",$D620=""),"",$D620*$E620)</f>
        <v/>
      </c>
      <c r="G620" s="12">
        <f>IF($B620="","",IF(COUNTIF(Cellar!$A$5:$A$31,$B620)=0,"NOT IN THE CELLAR","ok"))</f>
        <v/>
      </c>
    </row>
    <row r="621">
      <c r="A621" s="13" t="n"/>
      <c r="B621" s="18" t="n"/>
      <c r="C621" s="18" t="n"/>
      <c r="D621" s="19" t="n"/>
      <c r="E621" s="19" t="n"/>
      <c r="F621" s="17">
        <f>IF(OR($B621="",$D621=""),"",$D621*$E621)</f>
        <v/>
      </c>
      <c r="G621" s="12">
        <f>IF($B621="","",IF(COUNTIF(Cellar!$A$5:$A$31,$B621)=0,"NOT IN THE CELLAR","ok"))</f>
        <v/>
      </c>
    </row>
    <row r="622">
      <c r="A622" s="13" t="n"/>
      <c r="B622" s="18" t="n"/>
      <c r="C622" s="18" t="n"/>
      <c r="D622" s="19" t="n"/>
      <c r="E622" s="19" t="n"/>
      <c r="F622" s="17">
        <f>IF(OR($B622="",$D622=""),"",$D622*$E622)</f>
        <v/>
      </c>
      <c r="G622" s="12">
        <f>IF($B622="","",IF(COUNTIF(Cellar!$A$5:$A$31,$B622)=0,"NOT IN THE CELLAR","ok"))</f>
        <v/>
      </c>
    </row>
    <row r="623">
      <c r="A623" s="13" t="n"/>
      <c r="B623" s="18" t="n"/>
      <c r="C623" s="18" t="n"/>
      <c r="D623" s="19" t="n"/>
      <c r="E623" s="19" t="n"/>
      <c r="F623" s="17">
        <f>IF(OR($B623="",$D623=""),"",$D623*$E623)</f>
        <v/>
      </c>
      <c r="G623" s="12">
        <f>IF($B623="","",IF(COUNTIF(Cellar!$A$5:$A$31,$B623)=0,"NOT IN THE CELLAR","ok"))</f>
        <v/>
      </c>
    </row>
    <row r="624">
      <c r="A624" s="13" t="n"/>
      <c r="B624" s="18" t="n"/>
      <c r="C624" s="18" t="n"/>
      <c r="D624" s="19" t="n"/>
      <c r="E624" s="19" t="n"/>
      <c r="F624" s="17">
        <f>IF(OR($B624="",$D624=""),"",$D624*$E624)</f>
        <v/>
      </c>
      <c r="G624" s="12">
        <f>IF($B624="","",IF(COUNTIF(Cellar!$A$5:$A$31,$B624)=0,"NOT IN THE CELLAR","ok"))</f>
        <v/>
      </c>
    </row>
    <row r="625">
      <c r="A625" s="13" t="n"/>
      <c r="B625" s="18" t="n"/>
      <c r="C625" s="18" t="n"/>
      <c r="D625" s="19" t="n"/>
      <c r="E625" s="19" t="n"/>
      <c r="F625" s="17">
        <f>IF(OR($B625="",$D625=""),"",$D625*$E625)</f>
        <v/>
      </c>
      <c r="G625" s="12">
        <f>IF($B625="","",IF(COUNTIF(Cellar!$A$5:$A$31,$B625)=0,"NOT IN THE CELLAR","ok"))</f>
        <v/>
      </c>
    </row>
    <row r="626">
      <c r="A626" s="13" t="n"/>
      <c r="B626" s="18" t="n"/>
      <c r="C626" s="18" t="n"/>
      <c r="D626" s="19" t="n"/>
      <c r="E626" s="19" t="n"/>
      <c r="F626" s="17">
        <f>IF(OR($B626="",$D626=""),"",$D626*$E626)</f>
        <v/>
      </c>
      <c r="G626" s="12">
        <f>IF($B626="","",IF(COUNTIF(Cellar!$A$5:$A$31,$B626)=0,"NOT IN THE CELLAR","ok"))</f>
        <v/>
      </c>
    </row>
    <row r="627">
      <c r="A627" s="13" t="n"/>
      <c r="B627" s="18" t="n"/>
      <c r="C627" s="18" t="n"/>
      <c r="D627" s="19" t="n"/>
      <c r="E627" s="19" t="n"/>
      <c r="F627" s="17">
        <f>IF(OR($B627="",$D627=""),"",$D627*$E627)</f>
        <v/>
      </c>
      <c r="G627" s="12">
        <f>IF($B627="","",IF(COUNTIF(Cellar!$A$5:$A$31,$B627)=0,"NOT IN THE CELLAR","ok"))</f>
        <v/>
      </c>
    </row>
    <row r="628">
      <c r="A628" s="13" t="n"/>
      <c r="B628" s="18" t="n"/>
      <c r="C628" s="18" t="n"/>
      <c r="D628" s="19" t="n"/>
      <c r="E628" s="19" t="n"/>
      <c r="F628" s="17">
        <f>IF(OR($B628="",$D628=""),"",$D628*$E628)</f>
        <v/>
      </c>
      <c r="G628" s="12">
        <f>IF($B628="","",IF(COUNTIF(Cellar!$A$5:$A$31,$B628)=0,"NOT IN THE CELLAR","ok"))</f>
        <v/>
      </c>
    </row>
    <row r="629">
      <c r="A629" s="13" t="n"/>
      <c r="B629" s="18" t="n"/>
      <c r="C629" s="18" t="n"/>
      <c r="D629" s="19" t="n"/>
      <c r="E629" s="19" t="n"/>
      <c r="F629" s="17">
        <f>IF(OR($B629="",$D629=""),"",$D629*$E629)</f>
        <v/>
      </c>
      <c r="G629" s="12">
        <f>IF($B629="","",IF(COUNTIF(Cellar!$A$5:$A$31,$B629)=0,"NOT IN THE CELLAR","ok"))</f>
        <v/>
      </c>
    </row>
    <row r="630">
      <c r="A630" s="13" t="n"/>
      <c r="B630" s="18" t="n"/>
      <c r="C630" s="18" t="n"/>
      <c r="D630" s="19" t="n"/>
      <c r="E630" s="19" t="n"/>
      <c r="F630" s="17">
        <f>IF(OR($B630="",$D630=""),"",$D630*$E630)</f>
        <v/>
      </c>
      <c r="G630" s="12">
        <f>IF($B630="","",IF(COUNTIF(Cellar!$A$5:$A$31,$B630)=0,"NOT IN THE CELLAR","ok"))</f>
        <v/>
      </c>
    </row>
    <row r="631">
      <c r="A631" s="13" t="n"/>
      <c r="B631" s="18" t="n"/>
      <c r="C631" s="18" t="n"/>
      <c r="D631" s="19" t="n"/>
      <c r="E631" s="19" t="n"/>
      <c r="F631" s="17">
        <f>IF(OR($B631="",$D631=""),"",$D631*$E631)</f>
        <v/>
      </c>
      <c r="G631" s="12">
        <f>IF($B631="","",IF(COUNTIF(Cellar!$A$5:$A$31,$B631)=0,"NOT IN THE CELLAR","ok"))</f>
        <v/>
      </c>
    </row>
    <row r="632">
      <c r="A632" s="13" t="n"/>
      <c r="B632" s="18" t="n"/>
      <c r="C632" s="18" t="n"/>
      <c r="D632" s="19" t="n"/>
      <c r="E632" s="19" t="n"/>
      <c r="F632" s="17">
        <f>IF(OR($B632="",$D632=""),"",$D632*$E632)</f>
        <v/>
      </c>
      <c r="G632" s="12">
        <f>IF($B632="","",IF(COUNTIF(Cellar!$A$5:$A$31,$B632)=0,"NOT IN THE CELLAR","ok"))</f>
        <v/>
      </c>
    </row>
    <row r="633">
      <c r="A633" s="13" t="n"/>
      <c r="B633" s="18" t="n"/>
      <c r="C633" s="18" t="n"/>
      <c r="D633" s="19" t="n"/>
      <c r="E633" s="19" t="n"/>
      <c r="F633" s="17">
        <f>IF(OR($B633="",$D633=""),"",$D633*$E633)</f>
        <v/>
      </c>
      <c r="G633" s="12">
        <f>IF($B633="","",IF(COUNTIF(Cellar!$A$5:$A$31,$B633)=0,"NOT IN THE CELLAR","ok"))</f>
        <v/>
      </c>
    </row>
    <row r="634">
      <c r="A634" s="13" t="n"/>
      <c r="B634" s="18" t="n"/>
      <c r="C634" s="18" t="n"/>
      <c r="D634" s="19" t="n"/>
      <c r="E634" s="19" t="n"/>
      <c r="F634" s="17">
        <f>IF(OR($B634="",$D634=""),"",$D634*$E634)</f>
        <v/>
      </c>
      <c r="G634" s="12">
        <f>IF($B634="","",IF(COUNTIF(Cellar!$A$5:$A$31,$B634)=0,"NOT IN THE CELLAR","ok"))</f>
        <v/>
      </c>
    </row>
    <row r="635">
      <c r="A635" s="13" t="n"/>
      <c r="B635" s="18" t="n"/>
      <c r="C635" s="18" t="n"/>
      <c r="D635" s="19" t="n"/>
      <c r="E635" s="19" t="n"/>
      <c r="F635" s="17">
        <f>IF(OR($B635="",$D635=""),"",$D635*$E635)</f>
        <v/>
      </c>
      <c r="G635" s="12">
        <f>IF($B635="","",IF(COUNTIF(Cellar!$A$5:$A$31,$B635)=0,"NOT IN THE CELLAR","ok"))</f>
        <v/>
      </c>
    </row>
    <row r="636">
      <c r="A636" s="13" t="n"/>
      <c r="B636" s="18" t="n"/>
      <c r="C636" s="18" t="n"/>
      <c r="D636" s="19" t="n"/>
      <c r="E636" s="19" t="n"/>
      <c r="F636" s="17">
        <f>IF(OR($B636="",$D636=""),"",$D636*$E636)</f>
        <v/>
      </c>
      <c r="G636" s="12">
        <f>IF($B636="","",IF(COUNTIF(Cellar!$A$5:$A$31,$B636)=0,"NOT IN THE CELLAR","ok"))</f>
        <v/>
      </c>
    </row>
    <row r="637">
      <c r="A637" s="13" t="n"/>
      <c r="B637" s="18" t="n"/>
      <c r="C637" s="18" t="n"/>
      <c r="D637" s="19" t="n"/>
      <c r="E637" s="19" t="n"/>
      <c r="F637" s="17">
        <f>IF(OR($B637="",$D637=""),"",$D637*$E637)</f>
        <v/>
      </c>
      <c r="G637" s="12">
        <f>IF($B637="","",IF(COUNTIF(Cellar!$A$5:$A$31,$B637)=0,"NOT IN THE CELLAR","ok"))</f>
        <v/>
      </c>
    </row>
    <row r="638">
      <c r="A638" s="13" t="n"/>
      <c r="B638" s="18" t="n"/>
      <c r="C638" s="18" t="n"/>
      <c r="D638" s="19" t="n"/>
      <c r="E638" s="19" t="n"/>
      <c r="F638" s="17">
        <f>IF(OR($B638="",$D638=""),"",$D638*$E638)</f>
        <v/>
      </c>
      <c r="G638" s="12">
        <f>IF($B638="","",IF(COUNTIF(Cellar!$A$5:$A$31,$B638)=0,"NOT IN THE CELLAR","ok"))</f>
        <v/>
      </c>
    </row>
    <row r="639">
      <c r="A639" s="13" t="n"/>
      <c r="B639" s="18" t="n"/>
      <c r="C639" s="18" t="n"/>
      <c r="D639" s="19" t="n"/>
      <c r="E639" s="19" t="n"/>
      <c r="F639" s="17">
        <f>IF(OR($B639="",$D639=""),"",$D639*$E639)</f>
        <v/>
      </c>
      <c r="G639" s="12">
        <f>IF($B639="","",IF(COUNTIF(Cellar!$A$5:$A$31,$B639)=0,"NOT IN THE CELLAR","ok"))</f>
        <v/>
      </c>
    </row>
    <row r="640">
      <c r="A640" s="13" t="n"/>
      <c r="B640" s="18" t="n"/>
      <c r="C640" s="18" t="n"/>
      <c r="D640" s="19" t="n"/>
      <c r="E640" s="19" t="n"/>
      <c r="F640" s="17">
        <f>IF(OR($B640="",$D640=""),"",$D640*$E640)</f>
        <v/>
      </c>
      <c r="G640" s="12">
        <f>IF($B640="","",IF(COUNTIF(Cellar!$A$5:$A$31,$B640)=0,"NOT IN THE CELLAR","ok"))</f>
        <v/>
      </c>
    </row>
    <row r="641">
      <c r="A641" s="13" t="n"/>
      <c r="B641" s="18" t="n"/>
      <c r="C641" s="18" t="n"/>
      <c r="D641" s="19" t="n"/>
      <c r="E641" s="19" t="n"/>
      <c r="F641" s="17">
        <f>IF(OR($B641="",$D641=""),"",$D641*$E641)</f>
        <v/>
      </c>
      <c r="G641" s="12">
        <f>IF($B641="","",IF(COUNTIF(Cellar!$A$5:$A$31,$B641)=0,"NOT IN THE CELLAR","ok"))</f>
        <v/>
      </c>
    </row>
    <row r="642">
      <c r="A642" s="13" t="n"/>
      <c r="B642" s="18" t="n"/>
      <c r="C642" s="18" t="n"/>
      <c r="D642" s="19" t="n"/>
      <c r="E642" s="19" t="n"/>
      <c r="F642" s="17">
        <f>IF(OR($B642="",$D642=""),"",$D642*$E642)</f>
        <v/>
      </c>
      <c r="G642" s="12">
        <f>IF($B642="","",IF(COUNTIF(Cellar!$A$5:$A$31,$B642)=0,"NOT IN THE CELLAR","ok"))</f>
        <v/>
      </c>
    </row>
    <row r="643">
      <c r="A643" s="13" t="n"/>
      <c r="B643" s="18" t="n"/>
      <c r="C643" s="18" t="n"/>
      <c r="D643" s="19" t="n"/>
      <c r="E643" s="19" t="n"/>
      <c r="F643" s="17">
        <f>IF(OR($B643="",$D643=""),"",$D643*$E643)</f>
        <v/>
      </c>
      <c r="G643" s="12">
        <f>IF($B643="","",IF(COUNTIF(Cellar!$A$5:$A$31,$B643)=0,"NOT IN THE CELLAR","ok"))</f>
        <v/>
      </c>
    </row>
    <row r="644">
      <c r="A644" s="13" t="n"/>
      <c r="B644" s="18" t="n"/>
      <c r="C644" s="18" t="n"/>
      <c r="D644" s="19" t="n"/>
      <c r="E644" s="19" t="n"/>
      <c r="F644" s="17">
        <f>IF(OR($B644="",$D644=""),"",$D644*$E644)</f>
        <v/>
      </c>
      <c r="G644" s="12">
        <f>IF($B644="","",IF(COUNTIF(Cellar!$A$5:$A$31,$B644)=0,"NOT IN THE CELLAR","ok"))</f>
        <v/>
      </c>
    </row>
    <row r="645">
      <c r="A645" s="13" t="n"/>
      <c r="B645" s="18" t="n"/>
      <c r="C645" s="18" t="n"/>
      <c r="D645" s="19" t="n"/>
      <c r="E645" s="19" t="n"/>
      <c r="F645" s="17">
        <f>IF(OR($B645="",$D645=""),"",$D645*$E645)</f>
        <v/>
      </c>
      <c r="G645" s="12">
        <f>IF($B645="","",IF(COUNTIF(Cellar!$A$5:$A$31,$B645)=0,"NOT IN THE CELLAR","ok"))</f>
        <v/>
      </c>
    </row>
    <row r="646">
      <c r="A646" s="13" t="n"/>
      <c r="B646" s="18" t="n"/>
      <c r="C646" s="18" t="n"/>
      <c r="D646" s="19" t="n"/>
      <c r="E646" s="19" t="n"/>
      <c r="F646" s="17">
        <f>IF(OR($B646="",$D646=""),"",$D646*$E646)</f>
        <v/>
      </c>
      <c r="G646" s="12">
        <f>IF($B646="","",IF(COUNTIF(Cellar!$A$5:$A$31,$B646)=0,"NOT IN THE CELLAR","ok"))</f>
        <v/>
      </c>
    </row>
    <row r="647">
      <c r="A647" s="13" t="n"/>
      <c r="B647" s="18" t="n"/>
      <c r="C647" s="18" t="n"/>
      <c r="D647" s="19" t="n"/>
      <c r="E647" s="19" t="n"/>
      <c r="F647" s="17">
        <f>IF(OR($B647="",$D647=""),"",$D647*$E647)</f>
        <v/>
      </c>
      <c r="G647" s="12">
        <f>IF($B647="","",IF(COUNTIF(Cellar!$A$5:$A$31,$B647)=0,"NOT IN THE CELLAR","ok"))</f>
        <v/>
      </c>
    </row>
    <row r="648">
      <c r="A648" s="13" t="n"/>
      <c r="B648" s="18" t="n"/>
      <c r="C648" s="18" t="n"/>
      <c r="D648" s="19" t="n"/>
      <c r="E648" s="19" t="n"/>
      <c r="F648" s="17">
        <f>IF(OR($B648="",$D648=""),"",$D648*$E648)</f>
        <v/>
      </c>
      <c r="G648" s="12">
        <f>IF($B648="","",IF(COUNTIF(Cellar!$A$5:$A$31,$B648)=0,"NOT IN THE CELLAR","ok"))</f>
        <v/>
      </c>
    </row>
    <row r="649">
      <c r="A649" s="13" t="n"/>
      <c r="B649" s="18" t="n"/>
      <c r="C649" s="18" t="n"/>
      <c r="D649" s="19" t="n"/>
      <c r="E649" s="19" t="n"/>
      <c r="F649" s="17">
        <f>IF(OR($B649="",$D649=""),"",$D649*$E649)</f>
        <v/>
      </c>
      <c r="G649" s="12">
        <f>IF($B649="","",IF(COUNTIF(Cellar!$A$5:$A$31,$B649)=0,"NOT IN THE CELLAR","ok"))</f>
        <v/>
      </c>
    </row>
    <row r="650">
      <c r="A650" s="13" t="n"/>
      <c r="B650" s="18" t="n"/>
      <c r="C650" s="18" t="n"/>
      <c r="D650" s="19" t="n"/>
      <c r="E650" s="19" t="n"/>
      <c r="F650" s="17">
        <f>IF(OR($B650="",$D650=""),"",$D650*$E650)</f>
        <v/>
      </c>
      <c r="G650" s="12">
        <f>IF($B650="","",IF(COUNTIF(Cellar!$A$5:$A$31,$B650)=0,"NOT IN THE CELLAR","ok"))</f>
        <v/>
      </c>
    </row>
    <row r="651">
      <c r="A651" s="13" t="n"/>
      <c r="B651" s="18" t="n"/>
      <c r="C651" s="18" t="n"/>
      <c r="D651" s="19" t="n"/>
      <c r="E651" s="19" t="n"/>
      <c r="F651" s="17">
        <f>IF(OR($B651="",$D651=""),"",$D651*$E651)</f>
        <v/>
      </c>
      <c r="G651" s="12">
        <f>IF($B651="","",IF(COUNTIF(Cellar!$A$5:$A$31,$B651)=0,"NOT IN THE CELLAR","ok"))</f>
        <v/>
      </c>
    </row>
    <row r="652">
      <c r="A652" s="13" t="n"/>
      <c r="B652" s="18" t="n"/>
      <c r="C652" s="18" t="n"/>
      <c r="D652" s="19" t="n"/>
      <c r="E652" s="19" t="n"/>
      <c r="F652" s="17">
        <f>IF(OR($B652="",$D652=""),"",$D652*$E652)</f>
        <v/>
      </c>
      <c r="G652" s="12">
        <f>IF($B652="","",IF(COUNTIF(Cellar!$A$5:$A$31,$B652)=0,"NOT IN THE CELLAR","ok"))</f>
        <v/>
      </c>
    </row>
    <row r="653">
      <c r="A653" s="13" t="n"/>
      <c r="B653" s="18" t="n"/>
      <c r="C653" s="18" t="n"/>
      <c r="D653" s="19" t="n"/>
      <c r="E653" s="19" t="n"/>
      <c r="F653" s="17">
        <f>IF(OR($B653="",$D653=""),"",$D653*$E653)</f>
        <v/>
      </c>
      <c r="G653" s="12">
        <f>IF($B653="","",IF(COUNTIF(Cellar!$A$5:$A$31,$B653)=0,"NOT IN THE CELLAR","ok"))</f>
        <v/>
      </c>
    </row>
    <row r="654">
      <c r="A654" s="13" t="n"/>
      <c r="B654" s="18" t="n"/>
      <c r="C654" s="18" t="n"/>
      <c r="D654" s="19" t="n"/>
      <c r="E654" s="19" t="n"/>
      <c r="F654" s="17">
        <f>IF(OR($B654="",$D654=""),"",$D654*$E654)</f>
        <v/>
      </c>
      <c r="G654" s="12">
        <f>IF($B654="","",IF(COUNTIF(Cellar!$A$5:$A$31,$B654)=0,"NOT IN THE CELLAR","ok"))</f>
        <v/>
      </c>
    </row>
    <row r="655">
      <c r="A655" s="13" t="n"/>
      <c r="B655" s="18" t="n"/>
      <c r="C655" s="18" t="n"/>
      <c r="D655" s="19" t="n"/>
      <c r="E655" s="19" t="n"/>
      <c r="F655" s="17">
        <f>IF(OR($B655="",$D655=""),"",$D655*$E655)</f>
        <v/>
      </c>
      <c r="G655" s="12">
        <f>IF($B655="","",IF(COUNTIF(Cellar!$A$5:$A$31,$B655)=0,"NOT IN THE CELLAR","ok"))</f>
        <v/>
      </c>
    </row>
    <row r="656">
      <c r="A656" s="13" t="n"/>
      <c r="B656" s="18" t="n"/>
      <c r="C656" s="18" t="n"/>
      <c r="D656" s="19" t="n"/>
      <c r="E656" s="19" t="n"/>
      <c r="F656" s="17">
        <f>IF(OR($B656="",$D656=""),"",$D656*$E656)</f>
        <v/>
      </c>
      <c r="G656" s="12">
        <f>IF($B656="","",IF(COUNTIF(Cellar!$A$5:$A$31,$B656)=0,"NOT IN THE CELLAR","ok"))</f>
        <v/>
      </c>
    </row>
    <row r="657">
      <c r="A657" s="13" t="n"/>
      <c r="B657" s="18" t="n"/>
      <c r="C657" s="18" t="n"/>
      <c r="D657" s="19" t="n"/>
      <c r="E657" s="19" t="n"/>
      <c r="F657" s="17">
        <f>IF(OR($B657="",$D657=""),"",$D657*$E657)</f>
        <v/>
      </c>
      <c r="G657" s="12">
        <f>IF($B657="","",IF(COUNTIF(Cellar!$A$5:$A$31,$B657)=0,"NOT IN THE CELLAR","ok"))</f>
        <v/>
      </c>
    </row>
    <row r="658">
      <c r="A658" s="13" t="n"/>
      <c r="B658" s="18" t="n"/>
      <c r="C658" s="18" t="n"/>
      <c r="D658" s="19" t="n"/>
      <c r="E658" s="19" t="n"/>
      <c r="F658" s="17">
        <f>IF(OR($B658="",$D658=""),"",$D658*$E658)</f>
        <v/>
      </c>
      <c r="G658" s="12">
        <f>IF($B658="","",IF(COUNTIF(Cellar!$A$5:$A$31,$B658)=0,"NOT IN THE CELLAR","ok"))</f>
        <v/>
      </c>
    </row>
    <row r="659">
      <c r="A659" s="13" t="n"/>
      <c r="B659" s="18" t="n"/>
      <c r="C659" s="18" t="n"/>
      <c r="D659" s="19" t="n"/>
      <c r="E659" s="19" t="n"/>
      <c r="F659" s="17">
        <f>IF(OR($B659="",$D659=""),"",$D659*$E659)</f>
        <v/>
      </c>
      <c r="G659" s="12">
        <f>IF($B659="","",IF(COUNTIF(Cellar!$A$5:$A$31,$B659)=0,"NOT IN THE CELLAR","ok"))</f>
        <v/>
      </c>
    </row>
    <row r="660">
      <c r="A660" s="13" t="n"/>
      <c r="B660" s="18" t="n"/>
      <c r="C660" s="18" t="n"/>
      <c r="D660" s="19" t="n"/>
      <c r="E660" s="19" t="n"/>
      <c r="F660" s="17">
        <f>IF(OR($B660="",$D660=""),"",$D660*$E660)</f>
        <v/>
      </c>
      <c r="G660" s="12">
        <f>IF($B660="","",IF(COUNTIF(Cellar!$A$5:$A$31,$B660)=0,"NOT IN THE CELLAR","ok"))</f>
        <v/>
      </c>
    </row>
    <row r="661">
      <c r="A661" s="13" t="n"/>
      <c r="B661" s="18" t="n"/>
      <c r="C661" s="18" t="n"/>
      <c r="D661" s="19" t="n"/>
      <c r="E661" s="19" t="n"/>
      <c r="F661" s="17">
        <f>IF(OR($B661="",$D661=""),"",$D661*$E661)</f>
        <v/>
      </c>
      <c r="G661" s="12">
        <f>IF($B661="","",IF(COUNTIF(Cellar!$A$5:$A$31,$B661)=0,"NOT IN THE CELLAR","ok"))</f>
        <v/>
      </c>
    </row>
    <row r="662">
      <c r="A662" s="13" t="n"/>
      <c r="B662" s="18" t="n"/>
      <c r="C662" s="18" t="n"/>
      <c r="D662" s="19" t="n"/>
      <c r="E662" s="19" t="n"/>
      <c r="F662" s="17">
        <f>IF(OR($B662="",$D662=""),"",$D662*$E662)</f>
        <v/>
      </c>
      <c r="G662" s="12">
        <f>IF($B662="","",IF(COUNTIF(Cellar!$A$5:$A$31,$B662)=0,"NOT IN THE CELLAR","ok"))</f>
        <v/>
      </c>
    </row>
    <row r="663">
      <c r="A663" s="13" t="n"/>
      <c r="B663" s="18" t="n"/>
      <c r="C663" s="18" t="n"/>
      <c r="D663" s="19" t="n"/>
      <c r="E663" s="19" t="n"/>
      <c r="F663" s="17">
        <f>IF(OR($B663="",$D663=""),"",$D663*$E663)</f>
        <v/>
      </c>
      <c r="G663" s="12">
        <f>IF($B663="","",IF(COUNTIF(Cellar!$A$5:$A$31,$B663)=0,"NOT IN THE CELLAR","ok"))</f>
        <v/>
      </c>
    </row>
    <row r="664">
      <c r="A664" s="13" t="n"/>
      <c r="B664" s="18" t="n"/>
      <c r="C664" s="18" t="n"/>
      <c r="D664" s="19" t="n"/>
      <c r="E664" s="19" t="n"/>
      <c r="F664" s="17">
        <f>IF(OR($B664="",$D664=""),"",$D664*$E664)</f>
        <v/>
      </c>
      <c r="G664" s="12">
        <f>IF($B664="","",IF(COUNTIF(Cellar!$A$5:$A$31,$B664)=0,"NOT IN THE CELLAR","ok"))</f>
        <v/>
      </c>
    </row>
    <row r="665">
      <c r="A665" s="13" t="n"/>
      <c r="B665" s="18" t="n"/>
      <c r="C665" s="18" t="n"/>
      <c r="D665" s="19" t="n"/>
      <c r="E665" s="19" t="n"/>
      <c r="F665" s="17">
        <f>IF(OR($B665="",$D665=""),"",$D665*$E665)</f>
        <v/>
      </c>
      <c r="G665" s="12">
        <f>IF($B665="","",IF(COUNTIF(Cellar!$A$5:$A$31,$B665)=0,"NOT IN THE CELLAR","ok"))</f>
        <v/>
      </c>
    </row>
    <row r="666">
      <c r="A666" s="13" t="n"/>
      <c r="B666" s="18" t="n"/>
      <c r="C666" s="18" t="n"/>
      <c r="D666" s="19" t="n"/>
      <c r="E666" s="19" t="n"/>
      <c r="F666" s="17">
        <f>IF(OR($B666="",$D666=""),"",$D666*$E666)</f>
        <v/>
      </c>
      <c r="G666" s="12">
        <f>IF($B666="","",IF(COUNTIF(Cellar!$A$5:$A$31,$B666)=0,"NOT IN THE CELLAR","ok"))</f>
        <v/>
      </c>
    </row>
    <row r="667">
      <c r="A667" s="13" t="n"/>
      <c r="B667" s="18" t="n"/>
      <c r="C667" s="18" t="n"/>
      <c r="D667" s="19" t="n"/>
      <c r="E667" s="19" t="n"/>
      <c r="F667" s="17">
        <f>IF(OR($B667="",$D667=""),"",$D667*$E667)</f>
        <v/>
      </c>
      <c r="G667" s="12">
        <f>IF($B667="","",IF(COUNTIF(Cellar!$A$5:$A$31,$B667)=0,"NOT IN THE CELLAR","ok"))</f>
        <v/>
      </c>
    </row>
    <row r="668">
      <c r="A668" s="13" t="n"/>
      <c r="B668" s="18" t="n"/>
      <c r="C668" s="18" t="n"/>
      <c r="D668" s="19" t="n"/>
      <c r="E668" s="19" t="n"/>
      <c r="F668" s="17">
        <f>IF(OR($B668="",$D668=""),"",$D668*$E668)</f>
        <v/>
      </c>
      <c r="G668" s="12">
        <f>IF($B668="","",IF(COUNTIF(Cellar!$A$5:$A$31,$B668)=0,"NOT IN THE CELLAR","ok"))</f>
        <v/>
      </c>
    </row>
    <row r="669">
      <c r="A669" s="13" t="n"/>
      <c r="B669" s="18" t="n"/>
      <c r="C669" s="18" t="n"/>
      <c r="D669" s="19" t="n"/>
      <c r="E669" s="19" t="n"/>
      <c r="F669" s="17">
        <f>IF(OR($B669="",$D669=""),"",$D669*$E669)</f>
        <v/>
      </c>
      <c r="G669" s="12">
        <f>IF($B669="","",IF(COUNTIF(Cellar!$A$5:$A$31,$B669)=0,"NOT IN THE CELLAR","ok"))</f>
        <v/>
      </c>
    </row>
    <row r="670">
      <c r="A670" s="13" t="n"/>
      <c r="B670" s="18" t="n"/>
      <c r="C670" s="18" t="n"/>
      <c r="D670" s="19" t="n"/>
      <c r="E670" s="19" t="n"/>
      <c r="F670" s="17">
        <f>IF(OR($B670="",$D670=""),"",$D670*$E670)</f>
        <v/>
      </c>
      <c r="G670" s="12">
        <f>IF($B670="","",IF(COUNTIF(Cellar!$A$5:$A$31,$B670)=0,"NOT IN THE CELLAR","ok"))</f>
        <v/>
      </c>
    </row>
    <row r="671">
      <c r="A671" s="13" t="n"/>
      <c r="B671" s="18" t="n"/>
      <c r="C671" s="18" t="n"/>
      <c r="D671" s="19" t="n"/>
      <c r="E671" s="19" t="n"/>
      <c r="F671" s="17">
        <f>IF(OR($B671="",$D671=""),"",$D671*$E671)</f>
        <v/>
      </c>
      <c r="G671" s="12">
        <f>IF($B671="","",IF(COUNTIF(Cellar!$A$5:$A$31,$B671)=0,"NOT IN THE CELLAR","ok"))</f>
        <v/>
      </c>
    </row>
    <row r="672">
      <c r="A672" s="13" t="n"/>
      <c r="B672" s="18" t="n"/>
      <c r="C672" s="18" t="n"/>
      <c r="D672" s="19" t="n"/>
      <c r="E672" s="19" t="n"/>
      <c r="F672" s="17">
        <f>IF(OR($B672="",$D672=""),"",$D672*$E672)</f>
        <v/>
      </c>
      <c r="G672" s="12">
        <f>IF($B672="","",IF(COUNTIF(Cellar!$A$5:$A$31,$B672)=0,"NOT IN THE CELLAR","ok"))</f>
        <v/>
      </c>
    </row>
    <row r="673">
      <c r="A673" s="13" t="n"/>
      <c r="B673" s="18" t="n"/>
      <c r="C673" s="18" t="n"/>
      <c r="D673" s="19" t="n"/>
      <c r="E673" s="19" t="n"/>
      <c r="F673" s="17">
        <f>IF(OR($B673="",$D673=""),"",$D673*$E673)</f>
        <v/>
      </c>
      <c r="G673" s="12">
        <f>IF($B673="","",IF(COUNTIF(Cellar!$A$5:$A$31,$B673)=0,"NOT IN THE CELLAR","ok"))</f>
        <v/>
      </c>
    </row>
    <row r="674">
      <c r="A674" s="13" t="n"/>
      <c r="B674" s="18" t="n"/>
      <c r="C674" s="18" t="n"/>
      <c r="D674" s="19" t="n"/>
      <c r="E674" s="19" t="n"/>
      <c r="F674" s="17">
        <f>IF(OR($B674="",$D674=""),"",$D674*$E674)</f>
        <v/>
      </c>
      <c r="G674" s="12">
        <f>IF($B674="","",IF(COUNTIF(Cellar!$A$5:$A$31,$B674)=0,"NOT IN THE CELLAR","ok"))</f>
        <v/>
      </c>
    </row>
    <row r="675">
      <c r="A675" s="13" t="n"/>
      <c r="B675" s="18" t="n"/>
      <c r="C675" s="18" t="n"/>
      <c r="D675" s="19" t="n"/>
      <c r="E675" s="19" t="n"/>
      <c r="F675" s="17">
        <f>IF(OR($B675="",$D675=""),"",$D675*$E675)</f>
        <v/>
      </c>
      <c r="G675" s="12">
        <f>IF($B675="","",IF(COUNTIF(Cellar!$A$5:$A$31,$B675)=0,"NOT IN THE CELLAR","ok"))</f>
        <v/>
      </c>
    </row>
    <row r="676">
      <c r="A676" s="13" t="n"/>
      <c r="B676" s="18" t="n"/>
      <c r="C676" s="18" t="n"/>
      <c r="D676" s="19" t="n"/>
      <c r="E676" s="19" t="n"/>
      <c r="F676" s="17">
        <f>IF(OR($B676="",$D676=""),"",$D676*$E676)</f>
        <v/>
      </c>
      <c r="G676" s="12">
        <f>IF($B676="","",IF(COUNTIF(Cellar!$A$5:$A$31,$B676)=0,"NOT IN THE CELLAR","ok"))</f>
        <v/>
      </c>
    </row>
    <row r="677">
      <c r="A677" s="13" t="n"/>
      <c r="B677" s="18" t="n"/>
      <c r="C677" s="18" t="n"/>
      <c r="D677" s="19" t="n"/>
      <c r="E677" s="19" t="n"/>
      <c r="F677" s="17">
        <f>IF(OR($B677="",$D677=""),"",$D677*$E677)</f>
        <v/>
      </c>
      <c r="G677" s="12">
        <f>IF($B677="","",IF(COUNTIF(Cellar!$A$5:$A$31,$B677)=0,"NOT IN THE CELLAR","ok"))</f>
        <v/>
      </c>
    </row>
    <row r="678">
      <c r="A678" s="13" t="n"/>
      <c r="B678" s="18" t="n"/>
      <c r="C678" s="18" t="n"/>
      <c r="D678" s="19" t="n"/>
      <c r="E678" s="19" t="n"/>
      <c r="F678" s="17">
        <f>IF(OR($B678="",$D678=""),"",$D678*$E678)</f>
        <v/>
      </c>
      <c r="G678" s="12">
        <f>IF($B678="","",IF(COUNTIF(Cellar!$A$5:$A$31,$B678)=0,"NOT IN THE CELLAR","ok"))</f>
        <v/>
      </c>
    </row>
    <row r="679">
      <c r="A679" s="13" t="n"/>
      <c r="B679" s="18" t="n"/>
      <c r="C679" s="18" t="n"/>
      <c r="D679" s="19" t="n"/>
      <c r="E679" s="19" t="n"/>
      <c r="F679" s="17">
        <f>IF(OR($B679="",$D679=""),"",$D679*$E679)</f>
        <v/>
      </c>
      <c r="G679" s="12">
        <f>IF($B679="","",IF(COUNTIF(Cellar!$A$5:$A$31,$B679)=0,"NOT IN THE CELLAR","ok"))</f>
        <v/>
      </c>
    </row>
    <row r="680">
      <c r="A680" s="13" t="n"/>
      <c r="B680" s="18" t="n"/>
      <c r="C680" s="18" t="n"/>
      <c r="D680" s="19" t="n"/>
      <c r="E680" s="19" t="n"/>
      <c r="F680" s="17">
        <f>IF(OR($B680="",$D680=""),"",$D680*$E680)</f>
        <v/>
      </c>
      <c r="G680" s="12">
        <f>IF($B680="","",IF(COUNTIF(Cellar!$A$5:$A$31,$B680)=0,"NOT IN THE CELLAR","ok"))</f>
        <v/>
      </c>
    </row>
    <row r="681">
      <c r="A681" s="13" t="n"/>
      <c r="B681" s="18" t="n"/>
      <c r="C681" s="18" t="n"/>
      <c r="D681" s="19" t="n"/>
      <c r="E681" s="19" t="n"/>
      <c r="F681" s="17">
        <f>IF(OR($B681="",$D681=""),"",$D681*$E681)</f>
        <v/>
      </c>
      <c r="G681" s="12">
        <f>IF($B681="","",IF(COUNTIF(Cellar!$A$5:$A$31,$B681)=0,"NOT IN THE CELLAR","ok"))</f>
        <v/>
      </c>
    </row>
    <row r="682">
      <c r="A682" s="13" t="n"/>
      <c r="B682" s="18" t="n"/>
      <c r="C682" s="18" t="n"/>
      <c r="D682" s="19" t="n"/>
      <c r="E682" s="19" t="n"/>
      <c r="F682" s="17">
        <f>IF(OR($B682="",$D682=""),"",$D682*$E682)</f>
        <v/>
      </c>
      <c r="G682" s="12">
        <f>IF($B682="","",IF(COUNTIF(Cellar!$A$5:$A$31,$B682)=0,"NOT IN THE CELLAR","ok"))</f>
        <v/>
      </c>
    </row>
    <row r="683">
      <c r="A683" s="13" t="n"/>
      <c r="B683" s="18" t="n"/>
      <c r="C683" s="18" t="n"/>
      <c r="D683" s="19" t="n"/>
      <c r="E683" s="19" t="n"/>
      <c r="F683" s="17">
        <f>IF(OR($B683="",$D683=""),"",$D683*$E683)</f>
        <v/>
      </c>
      <c r="G683" s="12">
        <f>IF($B683="","",IF(COUNTIF(Cellar!$A$5:$A$31,$B683)=0,"NOT IN THE CELLAR","ok"))</f>
        <v/>
      </c>
    </row>
    <row r="684">
      <c r="A684" s="13" t="n"/>
      <c r="B684" s="18" t="n"/>
      <c r="C684" s="18" t="n"/>
      <c r="D684" s="19" t="n"/>
      <c r="E684" s="19" t="n"/>
      <c r="F684" s="17">
        <f>IF(OR($B684="",$D684=""),"",$D684*$E684)</f>
        <v/>
      </c>
      <c r="G684" s="12">
        <f>IF($B684="","",IF(COUNTIF(Cellar!$A$5:$A$31,$B684)=0,"NOT IN THE CELLAR","ok"))</f>
        <v/>
      </c>
    </row>
    <row r="685">
      <c r="A685" s="13" t="n"/>
      <c r="B685" s="18" t="n"/>
      <c r="C685" s="18" t="n"/>
      <c r="D685" s="19" t="n"/>
      <c r="E685" s="19" t="n"/>
      <c r="F685" s="17">
        <f>IF(OR($B685="",$D685=""),"",$D685*$E685)</f>
        <v/>
      </c>
      <c r="G685" s="12">
        <f>IF($B685="","",IF(COUNTIF(Cellar!$A$5:$A$31,$B685)=0,"NOT IN THE CELLAR","ok"))</f>
        <v/>
      </c>
    </row>
    <row r="686">
      <c r="A686" s="13" t="n"/>
      <c r="B686" s="18" t="n"/>
      <c r="C686" s="18" t="n"/>
      <c r="D686" s="19" t="n"/>
      <c r="E686" s="19" t="n"/>
      <c r="F686" s="17">
        <f>IF(OR($B686="",$D686=""),"",$D686*$E686)</f>
        <v/>
      </c>
      <c r="G686" s="12">
        <f>IF($B686="","",IF(COUNTIF(Cellar!$A$5:$A$31,$B686)=0,"NOT IN THE CELLAR","ok"))</f>
        <v/>
      </c>
    </row>
    <row r="687">
      <c r="A687" s="13" t="n"/>
      <c r="B687" s="18" t="n"/>
      <c r="C687" s="18" t="n"/>
      <c r="D687" s="19" t="n"/>
      <c r="E687" s="19" t="n"/>
      <c r="F687" s="17">
        <f>IF(OR($B687="",$D687=""),"",$D687*$E687)</f>
        <v/>
      </c>
      <c r="G687" s="12">
        <f>IF($B687="","",IF(COUNTIF(Cellar!$A$5:$A$31,$B687)=0,"NOT IN THE CELLAR","ok"))</f>
        <v/>
      </c>
    </row>
    <row r="688">
      <c r="A688" s="13" t="n"/>
      <c r="B688" s="18" t="n"/>
      <c r="C688" s="18" t="n"/>
      <c r="D688" s="19" t="n"/>
      <c r="E688" s="19" t="n"/>
      <c r="F688" s="17">
        <f>IF(OR($B688="",$D688=""),"",$D688*$E688)</f>
        <v/>
      </c>
      <c r="G688" s="12">
        <f>IF($B688="","",IF(COUNTIF(Cellar!$A$5:$A$31,$B688)=0,"NOT IN THE CELLAR","ok"))</f>
        <v/>
      </c>
    </row>
    <row r="689">
      <c r="A689" s="13" t="n"/>
      <c r="B689" s="18" t="n"/>
      <c r="C689" s="18" t="n"/>
      <c r="D689" s="19" t="n"/>
      <c r="E689" s="19" t="n"/>
      <c r="F689" s="17">
        <f>IF(OR($B689="",$D689=""),"",$D689*$E689)</f>
        <v/>
      </c>
      <c r="G689" s="12">
        <f>IF($B689="","",IF(COUNTIF(Cellar!$A$5:$A$31,$B689)=0,"NOT IN THE CELLAR","ok"))</f>
        <v/>
      </c>
    </row>
    <row r="690">
      <c r="A690" s="13" t="n"/>
      <c r="B690" s="18" t="n"/>
      <c r="C690" s="18" t="n"/>
      <c r="D690" s="19" t="n"/>
      <c r="E690" s="19" t="n"/>
      <c r="F690" s="17">
        <f>IF(OR($B690="",$D690=""),"",$D690*$E690)</f>
        <v/>
      </c>
      <c r="G690" s="12">
        <f>IF($B690="","",IF(COUNTIF(Cellar!$A$5:$A$31,$B690)=0,"NOT IN THE CELLAR","ok"))</f>
        <v/>
      </c>
    </row>
    <row r="691">
      <c r="A691" s="13" t="n"/>
      <c r="B691" s="18" t="n"/>
      <c r="C691" s="18" t="n"/>
      <c r="D691" s="19" t="n"/>
      <c r="E691" s="19" t="n"/>
      <c r="F691" s="17">
        <f>IF(OR($B691="",$D691=""),"",$D691*$E691)</f>
        <v/>
      </c>
      <c r="G691" s="12">
        <f>IF($B691="","",IF(COUNTIF(Cellar!$A$5:$A$31,$B691)=0,"NOT IN THE CELLAR","ok"))</f>
        <v/>
      </c>
    </row>
    <row r="692">
      <c r="A692" s="13" t="n"/>
      <c r="B692" s="18" t="n"/>
      <c r="C692" s="18" t="n"/>
      <c r="D692" s="19" t="n"/>
      <c r="E692" s="19" t="n"/>
      <c r="F692" s="17">
        <f>IF(OR($B692="",$D692=""),"",$D692*$E692)</f>
        <v/>
      </c>
      <c r="G692" s="12">
        <f>IF($B692="","",IF(COUNTIF(Cellar!$A$5:$A$31,$B692)=0,"NOT IN THE CELLAR","ok"))</f>
        <v/>
      </c>
    </row>
    <row r="693">
      <c r="A693" s="13" t="n"/>
      <c r="B693" s="18" t="n"/>
      <c r="C693" s="18" t="n"/>
      <c r="D693" s="19" t="n"/>
      <c r="E693" s="19" t="n"/>
      <c r="F693" s="17">
        <f>IF(OR($B693="",$D693=""),"",$D693*$E693)</f>
        <v/>
      </c>
      <c r="G693" s="12">
        <f>IF($B693="","",IF(COUNTIF(Cellar!$A$5:$A$31,$B693)=0,"NOT IN THE CELLAR","ok"))</f>
        <v/>
      </c>
    </row>
    <row r="694">
      <c r="A694" s="13" t="n"/>
      <c r="B694" s="18" t="n"/>
      <c r="C694" s="18" t="n"/>
      <c r="D694" s="19" t="n"/>
      <c r="E694" s="19" t="n"/>
      <c r="F694" s="17">
        <f>IF(OR($B694="",$D694=""),"",$D694*$E694)</f>
        <v/>
      </c>
      <c r="G694" s="12">
        <f>IF($B694="","",IF(COUNTIF(Cellar!$A$5:$A$31,$B694)=0,"NOT IN THE CELLAR","ok"))</f>
        <v/>
      </c>
    </row>
    <row r="695">
      <c r="A695" s="13" t="n"/>
      <c r="B695" s="18" t="n"/>
      <c r="C695" s="18" t="n"/>
      <c r="D695" s="19" t="n"/>
      <c r="E695" s="19" t="n"/>
      <c r="F695" s="17">
        <f>IF(OR($B695="",$D695=""),"",$D695*$E695)</f>
        <v/>
      </c>
      <c r="G695" s="12">
        <f>IF($B695="","",IF(COUNTIF(Cellar!$A$5:$A$31,$B695)=0,"NOT IN THE CELLAR","ok"))</f>
        <v/>
      </c>
    </row>
    <row r="696">
      <c r="A696" s="13" t="n"/>
      <c r="B696" s="18" t="n"/>
      <c r="C696" s="18" t="n"/>
      <c r="D696" s="19" t="n"/>
      <c r="E696" s="19" t="n"/>
      <c r="F696" s="17">
        <f>IF(OR($B696="",$D696=""),"",$D696*$E696)</f>
        <v/>
      </c>
      <c r="G696" s="12">
        <f>IF($B696="","",IF(COUNTIF(Cellar!$A$5:$A$31,$B696)=0,"NOT IN THE CELLAR","ok"))</f>
        <v/>
      </c>
    </row>
    <row r="697">
      <c r="A697" s="13" t="n"/>
      <c r="B697" s="18" t="n"/>
      <c r="C697" s="18" t="n"/>
      <c r="D697" s="19" t="n"/>
      <c r="E697" s="19" t="n"/>
      <c r="F697" s="17">
        <f>IF(OR($B697="",$D697=""),"",$D697*$E697)</f>
        <v/>
      </c>
      <c r="G697" s="12">
        <f>IF($B697="","",IF(COUNTIF(Cellar!$A$5:$A$31,$B697)=0,"NOT IN THE CELLAR","ok"))</f>
        <v/>
      </c>
    </row>
    <row r="698">
      <c r="A698" s="13" t="n"/>
      <c r="B698" s="18" t="n"/>
      <c r="C698" s="18" t="n"/>
      <c r="D698" s="19" t="n"/>
      <c r="E698" s="19" t="n"/>
      <c r="F698" s="17">
        <f>IF(OR($B698="",$D698=""),"",$D698*$E698)</f>
        <v/>
      </c>
      <c r="G698" s="12">
        <f>IF($B698="","",IF(COUNTIF(Cellar!$A$5:$A$31,$B698)=0,"NOT IN THE CELLAR","ok"))</f>
        <v/>
      </c>
    </row>
    <row r="699">
      <c r="A699" s="13" t="n"/>
      <c r="B699" s="18" t="n"/>
      <c r="C699" s="18" t="n"/>
      <c r="D699" s="19" t="n"/>
      <c r="E699" s="19" t="n"/>
      <c r="F699" s="17">
        <f>IF(OR($B699="",$D699=""),"",$D699*$E699)</f>
        <v/>
      </c>
      <c r="G699" s="12">
        <f>IF($B699="","",IF(COUNTIF(Cellar!$A$5:$A$31,$B699)=0,"NOT IN THE CELLAR","ok"))</f>
        <v/>
      </c>
    </row>
    <row r="700">
      <c r="A700" s="13" t="n"/>
      <c r="B700" s="18" t="n"/>
      <c r="C700" s="18" t="n"/>
      <c r="D700" s="19" t="n"/>
      <c r="E700" s="19" t="n"/>
      <c r="F700" s="17">
        <f>IF(OR($B700="",$D700=""),"",$D700*$E700)</f>
        <v/>
      </c>
      <c r="G700" s="12">
        <f>IF($B700="","",IF(COUNTIF(Cellar!$A$5:$A$31,$B700)=0,"NOT IN THE CELLAR","ok"))</f>
        <v/>
      </c>
    </row>
    <row r="701">
      <c r="A701" s="13" t="n"/>
      <c r="B701" s="18" t="n"/>
      <c r="C701" s="18" t="n"/>
      <c r="D701" s="19" t="n"/>
      <c r="E701" s="19" t="n"/>
      <c r="F701" s="17">
        <f>IF(OR($B701="",$D701=""),"",$D701*$E701)</f>
        <v/>
      </c>
      <c r="G701" s="12">
        <f>IF($B701="","",IF(COUNTIF(Cellar!$A$5:$A$31,$B701)=0,"NOT IN THE CELLAR","ok"))</f>
        <v/>
      </c>
    </row>
    <row r="702">
      <c r="A702" s="13" t="n"/>
      <c r="B702" s="18" t="n"/>
      <c r="C702" s="18" t="n"/>
      <c r="D702" s="19" t="n"/>
      <c r="E702" s="19" t="n"/>
      <c r="F702" s="17">
        <f>IF(OR($B702="",$D702=""),"",$D702*$E702)</f>
        <v/>
      </c>
      <c r="G702" s="12">
        <f>IF($B702="","",IF(COUNTIF(Cellar!$A$5:$A$31,$B702)=0,"NOT IN THE CELLAR","ok"))</f>
        <v/>
      </c>
    </row>
    <row r="703">
      <c r="A703" s="13" t="n"/>
      <c r="B703" s="18" t="n"/>
      <c r="C703" s="18" t="n"/>
      <c r="D703" s="19" t="n"/>
      <c r="E703" s="19" t="n"/>
      <c r="F703" s="17">
        <f>IF(OR($B703="",$D703=""),"",$D703*$E703)</f>
        <v/>
      </c>
      <c r="G703" s="12">
        <f>IF($B703="","",IF(COUNTIF(Cellar!$A$5:$A$31,$B703)=0,"NOT IN THE CELLAR","ok"))</f>
        <v/>
      </c>
    </row>
    <row r="704">
      <c r="A704" s="13" t="n"/>
      <c r="B704" s="18" t="n"/>
      <c r="C704" s="18" t="n"/>
      <c r="D704" s="19" t="n"/>
      <c r="E704" s="19" t="n"/>
      <c r="F704" s="17">
        <f>IF(OR($B704="",$D704=""),"",$D704*$E704)</f>
        <v/>
      </c>
      <c r="G704" s="12">
        <f>IF($B704="","",IF(COUNTIF(Cellar!$A$5:$A$31,$B704)=0,"NOT IN THE CELLAR","ok"))</f>
        <v/>
      </c>
    </row>
    <row r="705">
      <c r="A705" s="13" t="n"/>
      <c r="B705" s="18" t="n"/>
      <c r="C705" s="18" t="n"/>
      <c r="D705" s="19" t="n"/>
      <c r="E705" s="19" t="n"/>
      <c r="F705" s="17">
        <f>IF(OR($B705="",$D705=""),"",$D705*$E705)</f>
        <v/>
      </c>
      <c r="G705" s="12">
        <f>IF($B705="","",IF(COUNTIF(Cellar!$A$5:$A$31,$B705)=0,"NOT IN THE CELLAR","ok"))</f>
        <v/>
      </c>
    </row>
    <row r="706">
      <c r="A706" s="13" t="n"/>
      <c r="B706" s="18" t="n"/>
      <c r="C706" s="18" t="n"/>
      <c r="D706" s="19" t="n"/>
      <c r="E706" s="19" t="n"/>
      <c r="F706" s="17">
        <f>IF(OR($B706="",$D706=""),"",$D706*$E706)</f>
        <v/>
      </c>
      <c r="G706" s="12">
        <f>IF($B706="","",IF(COUNTIF(Cellar!$A$5:$A$31,$B706)=0,"NOT IN THE CELLAR","ok"))</f>
        <v/>
      </c>
    </row>
    <row r="707">
      <c r="A707" s="13" t="n"/>
      <c r="B707" s="18" t="n"/>
      <c r="C707" s="18" t="n"/>
      <c r="D707" s="19" t="n"/>
      <c r="E707" s="19" t="n"/>
      <c r="F707" s="17">
        <f>IF(OR($B707="",$D707=""),"",$D707*$E707)</f>
        <v/>
      </c>
      <c r="G707" s="12">
        <f>IF($B707="","",IF(COUNTIF(Cellar!$A$5:$A$31,$B707)=0,"NOT IN THE CELLAR","ok"))</f>
        <v/>
      </c>
    </row>
    <row r="708">
      <c r="A708" s="13" t="n"/>
      <c r="B708" s="18" t="n"/>
      <c r="C708" s="18" t="n"/>
      <c r="D708" s="19" t="n"/>
      <c r="E708" s="19" t="n"/>
      <c r="F708" s="17">
        <f>IF(OR($B708="",$D708=""),"",$D708*$E708)</f>
        <v/>
      </c>
      <c r="G708" s="12">
        <f>IF($B708="","",IF(COUNTIF(Cellar!$A$5:$A$31,$B708)=0,"NOT IN THE CELLAR","ok"))</f>
        <v/>
      </c>
    </row>
    <row r="709">
      <c r="A709" s="13" t="n"/>
      <c r="B709" s="18" t="n"/>
      <c r="C709" s="18" t="n"/>
      <c r="D709" s="19" t="n"/>
      <c r="E709" s="19" t="n"/>
      <c r="F709" s="17">
        <f>IF(OR($B709="",$D709=""),"",$D709*$E709)</f>
        <v/>
      </c>
      <c r="G709" s="12">
        <f>IF($B709="","",IF(COUNTIF(Cellar!$A$5:$A$31,$B709)=0,"NOT IN THE CELLAR","ok"))</f>
        <v/>
      </c>
    </row>
    <row r="710">
      <c r="A710" s="13" t="n"/>
      <c r="B710" s="18" t="n"/>
      <c r="C710" s="18" t="n"/>
      <c r="D710" s="19" t="n"/>
      <c r="E710" s="19" t="n"/>
      <c r="F710" s="17">
        <f>IF(OR($B710="",$D710=""),"",$D710*$E710)</f>
        <v/>
      </c>
      <c r="G710" s="12">
        <f>IF($B710="","",IF(COUNTIF(Cellar!$A$5:$A$31,$B710)=0,"NOT IN THE CELLAR","ok"))</f>
        <v/>
      </c>
    </row>
    <row r="711">
      <c r="A711" s="13" t="n"/>
      <c r="B711" s="18" t="n"/>
      <c r="C711" s="18" t="n"/>
      <c r="D711" s="19" t="n"/>
      <c r="E711" s="19" t="n"/>
      <c r="F711" s="17">
        <f>IF(OR($B711="",$D711=""),"",$D711*$E711)</f>
        <v/>
      </c>
      <c r="G711" s="12">
        <f>IF($B711="","",IF(COUNTIF(Cellar!$A$5:$A$31,$B711)=0,"NOT IN THE CELLAR","ok"))</f>
        <v/>
      </c>
    </row>
    <row r="712">
      <c r="A712" s="13" t="n"/>
      <c r="B712" s="18" t="n"/>
      <c r="C712" s="18" t="n"/>
      <c r="D712" s="19" t="n"/>
      <c r="E712" s="19" t="n"/>
      <c r="F712" s="17">
        <f>IF(OR($B712="",$D712=""),"",$D712*$E712)</f>
        <v/>
      </c>
      <c r="G712" s="12">
        <f>IF($B712="","",IF(COUNTIF(Cellar!$A$5:$A$31,$B712)=0,"NOT IN THE CELLAR","ok"))</f>
        <v/>
      </c>
    </row>
    <row r="713">
      <c r="A713" s="13" t="n"/>
      <c r="B713" s="18" t="n"/>
      <c r="C713" s="18" t="n"/>
      <c r="D713" s="19" t="n"/>
      <c r="E713" s="19" t="n"/>
      <c r="F713" s="17">
        <f>IF(OR($B713="",$D713=""),"",$D713*$E713)</f>
        <v/>
      </c>
      <c r="G713" s="12">
        <f>IF($B713="","",IF(COUNTIF(Cellar!$A$5:$A$31,$B713)=0,"NOT IN THE CELLAR","ok"))</f>
        <v/>
      </c>
    </row>
    <row r="714">
      <c r="A714" s="13" t="n"/>
      <c r="B714" s="18" t="n"/>
      <c r="C714" s="18" t="n"/>
      <c r="D714" s="19" t="n"/>
      <c r="E714" s="19" t="n"/>
      <c r="F714" s="17">
        <f>IF(OR($B714="",$D714=""),"",$D714*$E714)</f>
        <v/>
      </c>
      <c r="G714" s="12">
        <f>IF($B714="","",IF(COUNTIF(Cellar!$A$5:$A$31,$B714)=0,"NOT IN THE CELLAR","ok"))</f>
        <v/>
      </c>
    </row>
    <row r="715">
      <c r="A715" s="13" t="n"/>
      <c r="B715" s="18" t="n"/>
      <c r="C715" s="18" t="n"/>
      <c r="D715" s="19" t="n"/>
      <c r="E715" s="19" t="n"/>
      <c r="F715" s="17">
        <f>IF(OR($B715="",$D715=""),"",$D715*$E715)</f>
        <v/>
      </c>
      <c r="G715" s="12">
        <f>IF($B715="","",IF(COUNTIF(Cellar!$A$5:$A$31,$B715)=0,"NOT IN THE CELLAR","ok"))</f>
        <v/>
      </c>
    </row>
    <row r="716">
      <c r="A716" s="13" t="n"/>
      <c r="B716" s="18" t="n"/>
      <c r="C716" s="18" t="n"/>
      <c r="D716" s="19" t="n"/>
      <c r="E716" s="19" t="n"/>
      <c r="F716" s="17">
        <f>IF(OR($B716="",$D716=""),"",$D716*$E716)</f>
        <v/>
      </c>
      <c r="G716" s="12">
        <f>IF($B716="","",IF(COUNTIF(Cellar!$A$5:$A$31,$B716)=0,"NOT IN THE CELLAR","ok"))</f>
        <v/>
      </c>
    </row>
    <row r="717">
      <c r="A717" s="13" t="n"/>
      <c r="B717" s="18" t="n"/>
      <c r="C717" s="18" t="n"/>
      <c r="D717" s="19" t="n"/>
      <c r="E717" s="19" t="n"/>
      <c r="F717" s="17">
        <f>IF(OR($B717="",$D717=""),"",$D717*$E717)</f>
        <v/>
      </c>
      <c r="G717" s="12">
        <f>IF($B717="","",IF(COUNTIF(Cellar!$A$5:$A$31,$B717)=0,"NOT IN THE CELLAR","ok"))</f>
        <v/>
      </c>
    </row>
    <row r="718">
      <c r="A718" s="13" t="n"/>
      <c r="B718" s="18" t="n"/>
      <c r="C718" s="18" t="n"/>
      <c r="D718" s="19" t="n"/>
      <c r="E718" s="19" t="n"/>
      <c r="F718" s="17">
        <f>IF(OR($B718="",$D718=""),"",$D718*$E718)</f>
        <v/>
      </c>
      <c r="G718" s="12">
        <f>IF($B718="","",IF(COUNTIF(Cellar!$A$5:$A$31,$B718)=0,"NOT IN THE CELLAR","ok"))</f>
        <v/>
      </c>
    </row>
    <row r="719">
      <c r="A719" s="13" t="n"/>
      <c r="B719" s="18" t="n"/>
      <c r="C719" s="18" t="n"/>
      <c r="D719" s="19" t="n"/>
      <c r="E719" s="19" t="n"/>
      <c r="F719" s="17">
        <f>IF(OR($B719="",$D719=""),"",$D719*$E719)</f>
        <v/>
      </c>
      <c r="G719" s="12">
        <f>IF($B719="","",IF(COUNTIF(Cellar!$A$5:$A$31,$B719)=0,"NOT IN THE CELLAR","ok"))</f>
        <v/>
      </c>
    </row>
    <row r="720">
      <c r="A720" s="13" t="n"/>
      <c r="B720" s="18" t="n"/>
      <c r="C720" s="18" t="n"/>
      <c r="D720" s="19" t="n"/>
      <c r="E720" s="19" t="n"/>
      <c r="F720" s="17">
        <f>IF(OR($B720="",$D720=""),"",$D720*$E720)</f>
        <v/>
      </c>
      <c r="G720" s="12">
        <f>IF($B720="","",IF(COUNTIF(Cellar!$A$5:$A$31,$B720)=0,"NOT IN THE CELLAR","ok"))</f>
        <v/>
      </c>
    </row>
    <row r="721">
      <c r="A721" s="13" t="n"/>
      <c r="B721" s="18" t="n"/>
      <c r="C721" s="18" t="n"/>
      <c r="D721" s="19" t="n"/>
      <c r="E721" s="19" t="n"/>
      <c r="F721" s="17">
        <f>IF(OR($B721="",$D721=""),"",$D721*$E721)</f>
        <v/>
      </c>
      <c r="G721" s="12">
        <f>IF($B721="","",IF(COUNTIF(Cellar!$A$5:$A$31,$B721)=0,"NOT IN THE CELLAR","ok"))</f>
        <v/>
      </c>
    </row>
    <row r="722">
      <c r="A722" s="13" t="n"/>
      <c r="B722" s="18" t="n"/>
      <c r="C722" s="18" t="n"/>
      <c r="D722" s="19" t="n"/>
      <c r="E722" s="19" t="n"/>
      <c r="F722" s="17">
        <f>IF(OR($B722="",$D722=""),"",$D722*$E722)</f>
        <v/>
      </c>
      <c r="G722" s="12">
        <f>IF($B722="","",IF(COUNTIF(Cellar!$A$5:$A$31,$B722)=0,"NOT IN THE CELLAR","ok"))</f>
        <v/>
      </c>
    </row>
    <row r="723">
      <c r="A723" s="13" t="n"/>
      <c r="B723" s="18" t="n"/>
      <c r="C723" s="18" t="n"/>
      <c r="D723" s="19" t="n"/>
      <c r="E723" s="19" t="n"/>
      <c r="F723" s="17">
        <f>IF(OR($B723="",$D723=""),"",$D723*$E723)</f>
        <v/>
      </c>
      <c r="G723" s="12">
        <f>IF($B723="","",IF(COUNTIF(Cellar!$A$5:$A$31,$B723)=0,"NOT IN THE CELLAR","ok"))</f>
        <v/>
      </c>
    </row>
    <row r="724">
      <c r="A724" s="13" t="n"/>
      <c r="B724" s="18" t="n"/>
      <c r="C724" s="18" t="n"/>
      <c r="D724" s="19" t="n"/>
      <c r="E724" s="19" t="n"/>
      <c r="F724" s="17">
        <f>IF(OR($B724="",$D724=""),"",$D724*$E724)</f>
        <v/>
      </c>
      <c r="G724" s="12">
        <f>IF($B724="","",IF(COUNTIF(Cellar!$A$5:$A$31,$B724)=0,"NOT IN THE CELLAR","ok"))</f>
        <v/>
      </c>
    </row>
    <row r="725">
      <c r="A725" s="13" t="n"/>
      <c r="B725" s="18" t="n"/>
      <c r="C725" s="18" t="n"/>
      <c r="D725" s="19" t="n"/>
      <c r="E725" s="19" t="n"/>
      <c r="F725" s="17">
        <f>IF(OR($B725="",$D725=""),"",$D725*$E725)</f>
        <v/>
      </c>
      <c r="G725" s="12">
        <f>IF($B725="","",IF(COUNTIF(Cellar!$A$5:$A$31,$B725)=0,"NOT IN THE CELLAR","ok"))</f>
        <v/>
      </c>
    </row>
    <row r="726">
      <c r="A726" s="13" t="n"/>
      <c r="B726" s="18" t="n"/>
      <c r="C726" s="18" t="n"/>
      <c r="D726" s="19" t="n"/>
      <c r="E726" s="19" t="n"/>
      <c r="F726" s="17">
        <f>IF(OR($B726="",$D726=""),"",$D726*$E726)</f>
        <v/>
      </c>
      <c r="G726" s="12">
        <f>IF($B726="","",IF(COUNTIF(Cellar!$A$5:$A$31,$B726)=0,"NOT IN THE CELLAR","ok"))</f>
        <v/>
      </c>
    </row>
    <row r="727">
      <c r="A727" s="13" t="n"/>
      <c r="B727" s="18" t="n"/>
      <c r="C727" s="18" t="n"/>
      <c r="D727" s="19" t="n"/>
      <c r="E727" s="19" t="n"/>
      <c r="F727" s="17">
        <f>IF(OR($B727="",$D727=""),"",$D727*$E727)</f>
        <v/>
      </c>
      <c r="G727" s="12">
        <f>IF($B727="","",IF(COUNTIF(Cellar!$A$5:$A$31,$B727)=0,"NOT IN THE CELLAR","ok"))</f>
        <v/>
      </c>
    </row>
    <row r="728">
      <c r="A728" s="13" t="n"/>
      <c r="B728" s="18" t="n"/>
      <c r="C728" s="18" t="n"/>
      <c r="D728" s="19" t="n"/>
      <c r="E728" s="19" t="n"/>
      <c r="F728" s="17">
        <f>IF(OR($B728="",$D728=""),"",$D728*$E728)</f>
        <v/>
      </c>
      <c r="G728" s="12">
        <f>IF($B728="","",IF(COUNTIF(Cellar!$A$5:$A$31,$B728)=0,"NOT IN THE CELLAR","ok"))</f>
        <v/>
      </c>
    </row>
    <row r="729">
      <c r="A729" s="13" t="n"/>
      <c r="B729" s="18" t="n"/>
      <c r="C729" s="18" t="n"/>
      <c r="D729" s="19" t="n"/>
      <c r="E729" s="19" t="n"/>
      <c r="F729" s="17">
        <f>IF(OR($B729="",$D729=""),"",$D729*$E729)</f>
        <v/>
      </c>
      <c r="G729" s="12">
        <f>IF($B729="","",IF(COUNTIF(Cellar!$A$5:$A$31,$B729)=0,"NOT IN THE CELLAR","ok"))</f>
        <v/>
      </c>
    </row>
    <row r="730">
      <c r="A730" s="13" t="n"/>
      <c r="B730" s="18" t="n"/>
      <c r="C730" s="18" t="n"/>
      <c r="D730" s="19" t="n"/>
      <c r="E730" s="19" t="n"/>
      <c r="F730" s="17">
        <f>IF(OR($B730="",$D730=""),"",$D730*$E730)</f>
        <v/>
      </c>
      <c r="G730" s="12">
        <f>IF($B730="","",IF(COUNTIF(Cellar!$A$5:$A$31,$B730)=0,"NOT IN THE CELLAR","ok"))</f>
        <v/>
      </c>
    </row>
    <row r="731">
      <c r="A731" s="13" t="n"/>
      <c r="B731" s="18" t="n"/>
      <c r="C731" s="18" t="n"/>
      <c r="D731" s="19" t="n"/>
      <c r="E731" s="19" t="n"/>
      <c r="F731" s="17">
        <f>IF(OR($B731="",$D731=""),"",$D731*$E731)</f>
        <v/>
      </c>
      <c r="G731" s="12">
        <f>IF($B731="","",IF(COUNTIF(Cellar!$A$5:$A$31,$B731)=0,"NOT IN THE CELLAR","ok"))</f>
        <v/>
      </c>
    </row>
    <row r="732">
      <c r="A732" s="13" t="n"/>
      <c r="B732" s="18" t="n"/>
      <c r="C732" s="18" t="n"/>
      <c r="D732" s="19" t="n"/>
      <c r="E732" s="19" t="n"/>
      <c r="F732" s="17">
        <f>IF(OR($B732="",$D732=""),"",$D732*$E732)</f>
        <v/>
      </c>
      <c r="G732" s="12">
        <f>IF($B732="","",IF(COUNTIF(Cellar!$A$5:$A$31,$B732)=0,"NOT IN THE CELLAR","ok"))</f>
        <v/>
      </c>
    </row>
    <row r="733">
      <c r="A733" s="13" t="n"/>
      <c r="B733" s="18" t="n"/>
      <c r="C733" s="18" t="n"/>
      <c r="D733" s="19" t="n"/>
      <c r="E733" s="19" t="n"/>
      <c r="F733" s="17">
        <f>IF(OR($B733="",$D733=""),"",$D733*$E733)</f>
        <v/>
      </c>
      <c r="G733" s="12">
        <f>IF($B733="","",IF(COUNTIF(Cellar!$A$5:$A$31,$B733)=0,"NOT IN THE CELLAR","ok"))</f>
        <v/>
      </c>
    </row>
    <row r="734">
      <c r="A734" s="13" t="n"/>
      <c r="B734" s="18" t="n"/>
      <c r="C734" s="18" t="n"/>
      <c r="D734" s="19" t="n"/>
      <c r="E734" s="19" t="n"/>
      <c r="F734" s="17">
        <f>IF(OR($B734="",$D734=""),"",$D734*$E734)</f>
        <v/>
      </c>
      <c r="G734" s="12">
        <f>IF($B734="","",IF(COUNTIF(Cellar!$A$5:$A$31,$B734)=0,"NOT IN THE CELLAR","ok"))</f>
        <v/>
      </c>
    </row>
    <row r="735">
      <c r="A735" s="13" t="n"/>
      <c r="B735" s="18" t="n"/>
      <c r="C735" s="18" t="n"/>
      <c r="D735" s="19" t="n"/>
      <c r="E735" s="19" t="n"/>
      <c r="F735" s="17">
        <f>IF(OR($B735="",$D735=""),"",$D735*$E735)</f>
        <v/>
      </c>
      <c r="G735" s="12">
        <f>IF($B735="","",IF(COUNTIF(Cellar!$A$5:$A$31,$B735)=0,"NOT IN THE CELLAR","ok"))</f>
        <v/>
      </c>
    </row>
    <row r="736">
      <c r="A736" s="13" t="n"/>
      <c r="B736" s="18" t="n"/>
      <c r="C736" s="18" t="n"/>
      <c r="D736" s="19" t="n"/>
      <c r="E736" s="19" t="n"/>
      <c r="F736" s="17">
        <f>IF(OR($B736="",$D736=""),"",$D736*$E736)</f>
        <v/>
      </c>
      <c r="G736" s="12">
        <f>IF($B736="","",IF(COUNTIF(Cellar!$A$5:$A$31,$B736)=0,"NOT IN THE CELLAR","ok"))</f>
        <v/>
      </c>
    </row>
    <row r="737">
      <c r="A737" s="13" t="n"/>
      <c r="B737" s="18" t="n"/>
      <c r="C737" s="18" t="n"/>
      <c r="D737" s="19" t="n"/>
      <c r="E737" s="19" t="n"/>
      <c r="F737" s="17">
        <f>IF(OR($B737="",$D737=""),"",$D737*$E737)</f>
        <v/>
      </c>
      <c r="G737" s="12">
        <f>IF($B737="","",IF(COUNTIF(Cellar!$A$5:$A$31,$B737)=0,"NOT IN THE CELLAR","ok"))</f>
        <v/>
      </c>
    </row>
    <row r="738">
      <c r="A738" s="13" t="n"/>
      <c r="B738" s="18" t="n"/>
      <c r="C738" s="18" t="n"/>
      <c r="D738" s="19" t="n"/>
      <c r="E738" s="19" t="n"/>
      <c r="F738" s="17">
        <f>IF(OR($B738="",$D738=""),"",$D738*$E738)</f>
        <v/>
      </c>
      <c r="G738" s="12">
        <f>IF($B738="","",IF(COUNTIF(Cellar!$A$5:$A$31,$B738)=0,"NOT IN THE CELLAR","ok"))</f>
        <v/>
      </c>
    </row>
    <row r="739">
      <c r="A739" s="13" t="n"/>
      <c r="B739" s="18" t="n"/>
      <c r="C739" s="18" t="n"/>
      <c r="D739" s="19" t="n"/>
      <c r="E739" s="19" t="n"/>
      <c r="F739" s="17">
        <f>IF(OR($B739="",$D739=""),"",$D739*$E739)</f>
        <v/>
      </c>
      <c r="G739" s="12">
        <f>IF($B739="","",IF(COUNTIF(Cellar!$A$5:$A$31,$B739)=0,"NOT IN THE CELLAR","ok"))</f>
        <v/>
      </c>
    </row>
    <row r="740">
      <c r="A740" s="13" t="n"/>
      <c r="B740" s="18" t="n"/>
      <c r="C740" s="18" t="n"/>
      <c r="D740" s="19" t="n"/>
      <c r="E740" s="19" t="n"/>
      <c r="F740" s="17">
        <f>IF(OR($B740="",$D740=""),"",$D740*$E740)</f>
        <v/>
      </c>
      <c r="G740" s="12">
        <f>IF($B740="","",IF(COUNTIF(Cellar!$A$5:$A$31,$B740)=0,"NOT IN THE CELLAR","ok"))</f>
        <v/>
      </c>
    </row>
    <row r="741">
      <c r="A741" s="13" t="n"/>
      <c r="B741" s="18" t="n"/>
      <c r="C741" s="18" t="n"/>
      <c r="D741" s="19" t="n"/>
      <c r="E741" s="19" t="n"/>
      <c r="F741" s="17">
        <f>IF(OR($B741="",$D741=""),"",$D741*$E741)</f>
        <v/>
      </c>
      <c r="G741" s="12">
        <f>IF($B741="","",IF(COUNTIF(Cellar!$A$5:$A$31,$B741)=0,"NOT IN THE CELLAR","ok"))</f>
        <v/>
      </c>
    </row>
    <row r="742">
      <c r="A742" s="13" t="n"/>
      <c r="B742" s="18" t="n"/>
      <c r="C742" s="18" t="n"/>
      <c r="D742" s="19" t="n"/>
      <c r="E742" s="19" t="n"/>
      <c r="F742" s="17">
        <f>IF(OR($B742="",$D742=""),"",$D742*$E742)</f>
        <v/>
      </c>
      <c r="G742" s="12">
        <f>IF($B742="","",IF(COUNTIF(Cellar!$A$5:$A$31,$B742)=0,"NOT IN THE CELLAR","ok"))</f>
        <v/>
      </c>
    </row>
    <row r="743">
      <c r="A743" s="13" t="n"/>
      <c r="B743" s="18" t="n"/>
      <c r="C743" s="18" t="n"/>
      <c r="D743" s="19" t="n"/>
      <c r="E743" s="19" t="n"/>
      <c r="F743" s="17">
        <f>IF(OR($B743="",$D743=""),"",$D743*$E743)</f>
        <v/>
      </c>
      <c r="G743" s="12">
        <f>IF($B743="","",IF(COUNTIF(Cellar!$A$5:$A$31,$B743)=0,"NOT IN THE CELLAR","ok"))</f>
        <v/>
      </c>
    </row>
    <row r="744">
      <c r="A744" s="13" t="n"/>
      <c r="B744" s="18" t="n"/>
      <c r="C744" s="18" t="n"/>
      <c r="D744" s="19" t="n"/>
      <c r="E744" s="19" t="n"/>
      <c r="F744" s="17">
        <f>IF(OR($B744="",$D744=""),"",$D744*$E744)</f>
        <v/>
      </c>
      <c r="G744" s="12">
        <f>IF($B744="","",IF(COUNTIF(Cellar!$A$5:$A$31,$B744)=0,"NOT IN THE CELLAR","ok"))</f>
        <v/>
      </c>
    </row>
    <row r="745">
      <c r="A745" s="13" t="n"/>
      <c r="B745" s="18" t="n"/>
      <c r="C745" s="18" t="n"/>
      <c r="D745" s="19" t="n"/>
      <c r="E745" s="19" t="n"/>
      <c r="F745" s="17">
        <f>IF(OR($B745="",$D745=""),"",$D745*$E745)</f>
        <v/>
      </c>
      <c r="G745" s="12">
        <f>IF($B745="","",IF(COUNTIF(Cellar!$A$5:$A$31,$B745)=0,"NOT IN THE CELLAR","ok"))</f>
        <v/>
      </c>
    </row>
    <row r="746">
      <c r="A746" s="13" t="n"/>
      <c r="B746" s="18" t="n"/>
      <c r="C746" s="18" t="n"/>
      <c r="D746" s="19" t="n"/>
      <c r="E746" s="19" t="n"/>
      <c r="F746" s="17">
        <f>IF(OR($B746="",$D746=""),"",$D746*$E746)</f>
        <v/>
      </c>
      <c r="G746" s="12">
        <f>IF($B746="","",IF(COUNTIF(Cellar!$A$5:$A$31,$B746)=0,"NOT IN THE CELLAR","ok"))</f>
        <v/>
      </c>
    </row>
    <row r="747">
      <c r="A747" s="13" t="n"/>
      <c r="B747" s="18" t="n"/>
      <c r="C747" s="18" t="n"/>
      <c r="D747" s="19" t="n"/>
      <c r="E747" s="19" t="n"/>
      <c r="F747" s="17">
        <f>IF(OR($B747="",$D747=""),"",$D747*$E747)</f>
        <v/>
      </c>
      <c r="G747" s="12">
        <f>IF($B747="","",IF(COUNTIF(Cellar!$A$5:$A$31,$B747)=0,"NOT IN THE CELLAR","ok"))</f>
        <v/>
      </c>
    </row>
    <row r="748">
      <c r="A748" s="13" t="n"/>
      <c r="B748" s="18" t="n"/>
      <c r="C748" s="18" t="n"/>
      <c r="D748" s="19" t="n"/>
      <c r="E748" s="19" t="n"/>
      <c r="F748" s="17">
        <f>IF(OR($B748="",$D748=""),"",$D748*$E748)</f>
        <v/>
      </c>
      <c r="G748" s="12">
        <f>IF($B748="","",IF(COUNTIF(Cellar!$A$5:$A$31,$B748)=0,"NOT IN THE CELLAR","ok"))</f>
        <v/>
      </c>
    </row>
    <row r="749">
      <c r="A749" s="13" t="n"/>
      <c r="B749" s="18" t="n"/>
      <c r="C749" s="18" t="n"/>
      <c r="D749" s="19" t="n"/>
      <c r="E749" s="19" t="n"/>
      <c r="F749" s="17">
        <f>IF(OR($B749="",$D749=""),"",$D749*$E749)</f>
        <v/>
      </c>
      <c r="G749" s="12">
        <f>IF($B749="","",IF(COUNTIF(Cellar!$A$5:$A$31,$B749)=0,"NOT IN THE CELLAR","ok"))</f>
        <v/>
      </c>
    </row>
    <row r="750">
      <c r="A750" s="13" t="n"/>
      <c r="B750" s="18" t="n"/>
      <c r="C750" s="18" t="n"/>
      <c r="D750" s="19" t="n"/>
      <c r="E750" s="19" t="n"/>
      <c r="F750" s="17">
        <f>IF(OR($B750="",$D750=""),"",$D750*$E750)</f>
        <v/>
      </c>
      <c r="G750" s="12">
        <f>IF($B750="","",IF(COUNTIF(Cellar!$A$5:$A$31,$B750)=0,"NOT IN THE CELLAR","ok"))</f>
        <v/>
      </c>
    </row>
    <row r="751">
      <c r="A751" s="13" t="n"/>
      <c r="B751" s="18" t="n"/>
      <c r="C751" s="18" t="n"/>
      <c r="D751" s="19" t="n"/>
      <c r="E751" s="19" t="n"/>
      <c r="F751" s="17">
        <f>IF(OR($B751="",$D751=""),"",$D751*$E751)</f>
        <v/>
      </c>
      <c r="G751" s="12">
        <f>IF($B751="","",IF(COUNTIF(Cellar!$A$5:$A$31,$B751)=0,"NOT IN THE CELLAR","ok"))</f>
        <v/>
      </c>
    </row>
    <row r="752">
      <c r="A752" s="13" t="n"/>
      <c r="B752" s="18" t="n"/>
      <c r="C752" s="18" t="n"/>
      <c r="D752" s="19" t="n"/>
      <c r="E752" s="19" t="n"/>
      <c r="F752" s="17">
        <f>IF(OR($B752="",$D752=""),"",$D752*$E752)</f>
        <v/>
      </c>
      <c r="G752" s="12">
        <f>IF($B752="","",IF(COUNTIF(Cellar!$A$5:$A$31,$B752)=0,"NOT IN THE CELLAR","ok"))</f>
        <v/>
      </c>
    </row>
    <row r="753">
      <c r="A753" s="13" t="n"/>
      <c r="B753" s="18" t="n"/>
      <c r="C753" s="18" t="n"/>
      <c r="D753" s="19" t="n"/>
      <c r="E753" s="19" t="n"/>
      <c r="F753" s="17">
        <f>IF(OR($B753="",$D753=""),"",$D753*$E753)</f>
        <v/>
      </c>
      <c r="G753" s="12">
        <f>IF($B753="","",IF(COUNTIF(Cellar!$A$5:$A$31,$B753)=0,"NOT IN THE CELLAR","ok"))</f>
        <v/>
      </c>
    </row>
    <row r="754">
      <c r="A754" s="13" t="n"/>
      <c r="B754" s="18" t="n"/>
      <c r="C754" s="18" t="n"/>
      <c r="D754" s="19" t="n"/>
      <c r="E754" s="19" t="n"/>
      <c r="F754" s="17">
        <f>IF(OR($B754="",$D754=""),"",$D754*$E754)</f>
        <v/>
      </c>
      <c r="G754" s="12">
        <f>IF($B754="","",IF(COUNTIF(Cellar!$A$5:$A$31,$B754)=0,"NOT IN THE CELLAR","ok"))</f>
        <v/>
      </c>
    </row>
    <row r="755">
      <c r="A755" s="13" t="n"/>
      <c r="B755" s="18" t="n"/>
      <c r="C755" s="18" t="n"/>
      <c r="D755" s="19" t="n"/>
      <c r="E755" s="19" t="n"/>
      <c r="F755" s="17">
        <f>IF(OR($B755="",$D755=""),"",$D755*$E755)</f>
        <v/>
      </c>
      <c r="G755" s="12">
        <f>IF($B755="","",IF(COUNTIF(Cellar!$A$5:$A$31,$B755)=0,"NOT IN THE CELLAR","ok"))</f>
        <v/>
      </c>
    </row>
    <row r="756">
      <c r="A756" s="13" t="n"/>
      <c r="B756" s="18" t="n"/>
      <c r="C756" s="18" t="n"/>
      <c r="D756" s="19" t="n"/>
      <c r="E756" s="19" t="n"/>
      <c r="F756" s="17">
        <f>IF(OR($B756="",$D756=""),"",$D756*$E756)</f>
        <v/>
      </c>
      <c r="G756" s="12">
        <f>IF($B756="","",IF(COUNTIF(Cellar!$A$5:$A$31,$B756)=0,"NOT IN THE CELLAR","ok"))</f>
        <v/>
      </c>
    </row>
    <row r="757">
      <c r="A757" s="13" t="n"/>
      <c r="B757" s="18" t="n"/>
      <c r="C757" s="18" t="n"/>
      <c r="D757" s="19" t="n"/>
      <c r="E757" s="19" t="n"/>
      <c r="F757" s="17">
        <f>IF(OR($B757="",$D757=""),"",$D757*$E757)</f>
        <v/>
      </c>
      <c r="G757" s="12">
        <f>IF($B757="","",IF(COUNTIF(Cellar!$A$5:$A$31,$B757)=0,"NOT IN THE CELLAR","ok"))</f>
        <v/>
      </c>
    </row>
    <row r="758">
      <c r="A758" s="13" t="n"/>
      <c r="B758" s="18" t="n"/>
      <c r="C758" s="18" t="n"/>
      <c r="D758" s="19" t="n"/>
      <c r="E758" s="19" t="n"/>
      <c r="F758" s="17">
        <f>IF(OR($B758="",$D758=""),"",$D758*$E758)</f>
        <v/>
      </c>
      <c r="G758" s="12">
        <f>IF($B758="","",IF(COUNTIF(Cellar!$A$5:$A$31,$B758)=0,"NOT IN THE CELLAR","ok"))</f>
        <v/>
      </c>
    </row>
    <row r="759">
      <c r="A759" s="13" t="n"/>
      <c r="B759" s="18" t="n"/>
      <c r="C759" s="18" t="n"/>
      <c r="D759" s="19" t="n"/>
      <c r="E759" s="19" t="n"/>
      <c r="F759" s="17">
        <f>IF(OR($B759="",$D759=""),"",$D759*$E759)</f>
        <v/>
      </c>
      <c r="G759" s="12">
        <f>IF($B759="","",IF(COUNTIF(Cellar!$A$5:$A$31,$B759)=0,"NOT IN THE CELLAR","ok"))</f>
        <v/>
      </c>
    </row>
    <row r="760">
      <c r="A760" s="13" t="n"/>
      <c r="B760" s="18" t="n"/>
      <c r="C760" s="18" t="n"/>
      <c r="D760" s="19" t="n"/>
      <c r="E760" s="19" t="n"/>
      <c r="F760" s="17">
        <f>IF(OR($B760="",$D760=""),"",$D760*$E760)</f>
        <v/>
      </c>
      <c r="G760" s="12">
        <f>IF($B760="","",IF(COUNTIF(Cellar!$A$5:$A$31,$B760)=0,"NOT IN THE CELLAR","ok"))</f>
        <v/>
      </c>
    </row>
    <row r="761">
      <c r="A761" s="13" t="n"/>
      <c r="B761" s="18" t="n"/>
      <c r="C761" s="18" t="n"/>
      <c r="D761" s="19" t="n"/>
      <c r="E761" s="19" t="n"/>
      <c r="F761" s="17">
        <f>IF(OR($B761="",$D761=""),"",$D761*$E761)</f>
        <v/>
      </c>
      <c r="G761" s="12">
        <f>IF($B761="","",IF(COUNTIF(Cellar!$A$5:$A$31,$B761)=0,"NOT IN THE CELLAR","ok"))</f>
        <v/>
      </c>
    </row>
    <row r="762">
      <c r="A762" s="13" t="n"/>
      <c r="B762" s="18" t="n"/>
      <c r="C762" s="18" t="n"/>
      <c r="D762" s="19" t="n"/>
      <c r="E762" s="19" t="n"/>
      <c r="F762" s="17">
        <f>IF(OR($B762="",$D762=""),"",$D762*$E762)</f>
        <v/>
      </c>
      <c r="G762" s="12">
        <f>IF($B762="","",IF(COUNTIF(Cellar!$A$5:$A$31,$B762)=0,"NOT IN THE CELLAR","ok"))</f>
        <v/>
      </c>
    </row>
    <row r="763">
      <c r="A763" s="13" t="n"/>
      <c r="B763" s="18" t="n"/>
      <c r="C763" s="18" t="n"/>
      <c r="D763" s="19" t="n"/>
      <c r="E763" s="19" t="n"/>
      <c r="F763" s="17">
        <f>IF(OR($B763="",$D763=""),"",$D763*$E763)</f>
        <v/>
      </c>
      <c r="G763" s="12">
        <f>IF($B763="","",IF(COUNTIF(Cellar!$A$5:$A$31,$B763)=0,"NOT IN THE CELLAR","ok"))</f>
        <v/>
      </c>
    </row>
    <row r="764">
      <c r="A764" s="13" t="n"/>
      <c r="B764" s="18" t="n"/>
      <c r="C764" s="18" t="n"/>
      <c r="D764" s="19" t="n"/>
      <c r="E764" s="19" t="n"/>
      <c r="F764" s="17">
        <f>IF(OR($B764="",$D764=""),"",$D764*$E764)</f>
        <v/>
      </c>
      <c r="G764" s="12">
        <f>IF($B764="","",IF(COUNTIF(Cellar!$A$5:$A$31,$B764)=0,"NOT IN THE CELLAR","ok"))</f>
        <v/>
      </c>
    </row>
    <row r="765">
      <c r="A765" s="13" t="n"/>
      <c r="B765" s="18" t="n"/>
      <c r="C765" s="18" t="n"/>
      <c r="D765" s="19" t="n"/>
      <c r="E765" s="19" t="n"/>
      <c r="F765" s="17">
        <f>IF(OR($B765="",$D765=""),"",$D765*$E765)</f>
        <v/>
      </c>
      <c r="G765" s="12">
        <f>IF($B765="","",IF(COUNTIF(Cellar!$A$5:$A$31,$B765)=0,"NOT IN THE CELLAR","ok"))</f>
        <v/>
      </c>
    </row>
    <row r="766">
      <c r="A766" s="13" t="n"/>
      <c r="B766" s="18" t="n"/>
      <c r="C766" s="18" t="n"/>
      <c r="D766" s="19" t="n"/>
      <c r="E766" s="19" t="n"/>
      <c r="F766" s="17">
        <f>IF(OR($B766="",$D766=""),"",$D766*$E766)</f>
        <v/>
      </c>
      <c r="G766" s="12">
        <f>IF($B766="","",IF(COUNTIF(Cellar!$A$5:$A$31,$B766)=0,"NOT IN THE CELLAR","ok"))</f>
        <v/>
      </c>
    </row>
    <row r="767">
      <c r="A767" s="13" t="n"/>
      <c r="B767" s="18" t="n"/>
      <c r="C767" s="18" t="n"/>
      <c r="D767" s="19" t="n"/>
      <c r="E767" s="19" t="n"/>
      <c r="F767" s="17">
        <f>IF(OR($B767="",$D767=""),"",$D767*$E767)</f>
        <v/>
      </c>
      <c r="G767" s="12">
        <f>IF($B767="","",IF(COUNTIF(Cellar!$A$5:$A$31,$B767)=0,"NOT IN THE CELLAR","ok"))</f>
        <v/>
      </c>
    </row>
    <row r="768">
      <c r="A768" s="13" t="n"/>
      <c r="B768" s="18" t="n"/>
      <c r="C768" s="18" t="n"/>
      <c r="D768" s="19" t="n"/>
      <c r="E768" s="19" t="n"/>
      <c r="F768" s="17">
        <f>IF(OR($B768="",$D768=""),"",$D768*$E768)</f>
        <v/>
      </c>
      <c r="G768" s="12">
        <f>IF($B768="","",IF(COUNTIF(Cellar!$A$5:$A$31,$B768)=0,"NOT IN THE CELLAR","ok"))</f>
        <v/>
      </c>
    </row>
    <row r="769">
      <c r="A769" s="13" t="n"/>
      <c r="B769" s="18" t="n"/>
      <c r="C769" s="18" t="n"/>
      <c r="D769" s="19" t="n"/>
      <c r="E769" s="19" t="n"/>
      <c r="F769" s="17">
        <f>IF(OR($B769="",$D769=""),"",$D769*$E769)</f>
        <v/>
      </c>
      <c r="G769" s="12">
        <f>IF($B769="","",IF(COUNTIF(Cellar!$A$5:$A$31,$B769)=0,"NOT IN THE CELLAR","ok"))</f>
        <v/>
      </c>
    </row>
    <row r="770">
      <c r="A770" s="13" t="n"/>
      <c r="B770" s="18" t="n"/>
      <c r="C770" s="18" t="n"/>
      <c r="D770" s="19" t="n"/>
      <c r="E770" s="19" t="n"/>
      <c r="F770" s="17">
        <f>IF(OR($B770="",$D770=""),"",$D770*$E770)</f>
        <v/>
      </c>
      <c r="G770" s="12">
        <f>IF($B770="","",IF(COUNTIF(Cellar!$A$5:$A$31,$B770)=0,"NOT IN THE CELLAR","ok"))</f>
        <v/>
      </c>
    </row>
    <row r="771">
      <c r="A771" s="13" t="n"/>
      <c r="B771" s="18" t="n"/>
      <c r="C771" s="18" t="n"/>
      <c r="D771" s="19" t="n"/>
      <c r="E771" s="19" t="n"/>
      <c r="F771" s="17">
        <f>IF(OR($B771="",$D771=""),"",$D771*$E771)</f>
        <v/>
      </c>
      <c r="G771" s="12">
        <f>IF($B771="","",IF(COUNTIF(Cellar!$A$5:$A$31,$B771)=0,"NOT IN THE CELLAR","ok"))</f>
        <v/>
      </c>
    </row>
    <row r="772">
      <c r="A772" s="13" t="n"/>
      <c r="B772" s="18" t="n"/>
      <c r="C772" s="18" t="n"/>
      <c r="D772" s="19" t="n"/>
      <c r="E772" s="19" t="n"/>
      <c r="F772" s="17">
        <f>IF(OR($B772="",$D772=""),"",$D772*$E772)</f>
        <v/>
      </c>
      <c r="G772" s="12">
        <f>IF($B772="","",IF(COUNTIF(Cellar!$A$5:$A$31,$B772)=0,"NOT IN THE CELLAR","ok"))</f>
        <v/>
      </c>
    </row>
    <row r="773">
      <c r="A773" s="13" t="n"/>
      <c r="B773" s="18" t="n"/>
      <c r="C773" s="18" t="n"/>
      <c r="D773" s="19" t="n"/>
      <c r="E773" s="19" t="n"/>
      <c r="F773" s="17">
        <f>IF(OR($B773="",$D773=""),"",$D773*$E773)</f>
        <v/>
      </c>
      <c r="G773" s="12">
        <f>IF($B773="","",IF(COUNTIF(Cellar!$A$5:$A$31,$B773)=0,"NOT IN THE CELLAR","ok"))</f>
        <v/>
      </c>
    </row>
    <row r="774">
      <c r="A774" s="13" t="n"/>
      <c r="B774" s="18" t="n"/>
      <c r="C774" s="18" t="n"/>
      <c r="D774" s="19" t="n"/>
      <c r="E774" s="19" t="n"/>
      <c r="F774" s="17">
        <f>IF(OR($B774="",$D774=""),"",$D774*$E774)</f>
        <v/>
      </c>
      <c r="G774" s="12">
        <f>IF($B774="","",IF(COUNTIF(Cellar!$A$5:$A$31,$B774)=0,"NOT IN THE CELLAR","ok"))</f>
        <v/>
      </c>
    </row>
    <row r="775">
      <c r="A775" s="13" t="n"/>
      <c r="B775" s="18" t="n"/>
      <c r="C775" s="18" t="n"/>
      <c r="D775" s="19" t="n"/>
      <c r="E775" s="19" t="n"/>
      <c r="F775" s="17">
        <f>IF(OR($B775="",$D775=""),"",$D775*$E775)</f>
        <v/>
      </c>
      <c r="G775" s="12">
        <f>IF($B775="","",IF(COUNTIF(Cellar!$A$5:$A$31,$B775)=0,"NOT IN THE CELLAR","ok"))</f>
        <v/>
      </c>
    </row>
    <row r="776">
      <c r="A776" s="13" t="n"/>
      <c r="B776" s="18" t="n"/>
      <c r="C776" s="18" t="n"/>
      <c r="D776" s="19" t="n"/>
      <c r="E776" s="19" t="n"/>
      <c r="F776" s="17">
        <f>IF(OR($B776="",$D776=""),"",$D776*$E776)</f>
        <v/>
      </c>
      <c r="G776" s="12">
        <f>IF($B776="","",IF(COUNTIF(Cellar!$A$5:$A$31,$B776)=0,"NOT IN THE CELLAR","ok"))</f>
        <v/>
      </c>
    </row>
    <row r="777">
      <c r="A777" s="13" t="n"/>
      <c r="B777" s="18" t="n"/>
      <c r="C777" s="18" t="n"/>
      <c r="D777" s="19" t="n"/>
      <c r="E777" s="19" t="n"/>
      <c r="F777" s="17">
        <f>IF(OR($B777="",$D777=""),"",$D777*$E777)</f>
        <v/>
      </c>
      <c r="G777" s="12">
        <f>IF($B777="","",IF(COUNTIF(Cellar!$A$5:$A$31,$B777)=0,"NOT IN THE CELLAR","ok"))</f>
        <v/>
      </c>
    </row>
    <row r="778">
      <c r="A778" s="13" t="n"/>
      <c r="B778" s="18" t="n"/>
      <c r="C778" s="18" t="n"/>
      <c r="D778" s="19" t="n"/>
      <c r="E778" s="19" t="n"/>
      <c r="F778" s="17">
        <f>IF(OR($B778="",$D778=""),"",$D778*$E778)</f>
        <v/>
      </c>
      <c r="G778" s="12">
        <f>IF($B778="","",IF(COUNTIF(Cellar!$A$5:$A$31,$B778)=0,"NOT IN THE CELLAR","ok"))</f>
        <v/>
      </c>
    </row>
    <row r="779">
      <c r="A779" s="13" t="n"/>
      <c r="B779" s="18" t="n"/>
      <c r="C779" s="18" t="n"/>
      <c r="D779" s="19" t="n"/>
      <c r="E779" s="19" t="n"/>
      <c r="F779" s="17">
        <f>IF(OR($B779="",$D779=""),"",$D779*$E779)</f>
        <v/>
      </c>
      <c r="G779" s="12">
        <f>IF($B779="","",IF(COUNTIF(Cellar!$A$5:$A$31,$B779)=0,"NOT IN THE CELLAR","ok"))</f>
        <v/>
      </c>
    </row>
    <row r="780">
      <c r="A780" s="13" t="n"/>
      <c r="B780" s="18" t="n"/>
      <c r="C780" s="18" t="n"/>
      <c r="D780" s="19" t="n"/>
      <c r="E780" s="19" t="n"/>
      <c r="F780" s="17">
        <f>IF(OR($B780="",$D780=""),"",$D780*$E780)</f>
        <v/>
      </c>
      <c r="G780" s="12">
        <f>IF($B780="","",IF(COUNTIF(Cellar!$A$5:$A$31,$B780)=0,"NOT IN THE CELLAR","ok"))</f>
        <v/>
      </c>
    </row>
    <row r="781">
      <c r="A781" s="13" t="n"/>
      <c r="B781" s="18" t="n"/>
      <c r="C781" s="18" t="n"/>
      <c r="D781" s="19" t="n"/>
      <c r="E781" s="19" t="n"/>
      <c r="F781" s="17">
        <f>IF(OR($B781="",$D781=""),"",$D781*$E781)</f>
        <v/>
      </c>
      <c r="G781" s="12">
        <f>IF($B781="","",IF(COUNTIF(Cellar!$A$5:$A$31,$B781)=0,"NOT IN THE CELLAR","ok"))</f>
        <v/>
      </c>
    </row>
    <row r="782">
      <c r="A782" s="13" t="n"/>
      <c r="B782" s="18" t="n"/>
      <c r="C782" s="18" t="n"/>
      <c r="D782" s="19" t="n"/>
      <c r="E782" s="19" t="n"/>
      <c r="F782" s="17">
        <f>IF(OR($B782="",$D782=""),"",$D782*$E782)</f>
        <v/>
      </c>
      <c r="G782" s="12">
        <f>IF($B782="","",IF(COUNTIF(Cellar!$A$5:$A$31,$B782)=0,"NOT IN THE CELLAR","ok"))</f>
        <v/>
      </c>
    </row>
    <row r="783">
      <c r="A783" s="13" t="n"/>
      <c r="B783" s="18" t="n"/>
      <c r="C783" s="18" t="n"/>
      <c r="D783" s="19" t="n"/>
      <c r="E783" s="19" t="n"/>
      <c r="F783" s="17">
        <f>IF(OR($B783="",$D783=""),"",$D783*$E783)</f>
        <v/>
      </c>
      <c r="G783" s="12">
        <f>IF($B783="","",IF(COUNTIF(Cellar!$A$5:$A$31,$B783)=0,"NOT IN THE CELLAR","ok"))</f>
        <v/>
      </c>
    </row>
    <row r="784">
      <c r="A784" s="13" t="n"/>
      <c r="B784" s="18" t="n"/>
      <c r="C784" s="18" t="n"/>
      <c r="D784" s="19" t="n"/>
      <c r="E784" s="19" t="n"/>
      <c r="F784" s="17">
        <f>IF(OR($B784="",$D784=""),"",$D784*$E784)</f>
        <v/>
      </c>
      <c r="G784" s="12">
        <f>IF($B784="","",IF(COUNTIF(Cellar!$A$5:$A$31,$B784)=0,"NOT IN THE CELLAR","ok"))</f>
        <v/>
      </c>
    </row>
    <row r="785">
      <c r="A785" s="13" t="n"/>
      <c r="B785" s="18" t="n"/>
      <c r="C785" s="18" t="n"/>
      <c r="D785" s="19" t="n"/>
      <c r="E785" s="19" t="n"/>
      <c r="F785" s="17">
        <f>IF(OR($B785="",$D785=""),"",$D785*$E785)</f>
        <v/>
      </c>
      <c r="G785" s="12">
        <f>IF($B785="","",IF(COUNTIF(Cellar!$A$5:$A$31,$B785)=0,"NOT IN THE CELLAR","ok"))</f>
        <v/>
      </c>
    </row>
    <row r="786">
      <c r="A786" s="13" t="n"/>
      <c r="B786" s="18" t="n"/>
      <c r="C786" s="18" t="n"/>
      <c r="D786" s="19" t="n"/>
      <c r="E786" s="19" t="n"/>
      <c r="F786" s="17">
        <f>IF(OR($B786="",$D786=""),"",$D786*$E786)</f>
        <v/>
      </c>
      <c r="G786" s="12">
        <f>IF($B786="","",IF(COUNTIF(Cellar!$A$5:$A$31,$B786)=0,"NOT IN THE CELLAR","ok"))</f>
        <v/>
      </c>
    </row>
    <row r="787">
      <c r="A787" s="13" t="n"/>
      <c r="B787" s="18" t="n"/>
      <c r="C787" s="18" t="n"/>
      <c r="D787" s="19" t="n"/>
      <c r="E787" s="19" t="n"/>
      <c r="F787" s="17">
        <f>IF(OR($B787="",$D787=""),"",$D787*$E787)</f>
        <v/>
      </c>
      <c r="G787" s="12">
        <f>IF($B787="","",IF(COUNTIF(Cellar!$A$5:$A$31,$B787)=0,"NOT IN THE CELLAR","ok"))</f>
        <v/>
      </c>
    </row>
    <row r="788">
      <c r="A788" s="13" t="n"/>
      <c r="B788" s="18" t="n"/>
      <c r="C788" s="18" t="n"/>
      <c r="D788" s="19" t="n"/>
      <c r="E788" s="19" t="n"/>
      <c r="F788" s="17">
        <f>IF(OR($B788="",$D788=""),"",$D788*$E788)</f>
        <v/>
      </c>
      <c r="G788" s="12">
        <f>IF($B788="","",IF(COUNTIF(Cellar!$A$5:$A$31,$B788)=0,"NOT IN THE CELLAR","ok"))</f>
        <v/>
      </c>
    </row>
    <row r="789">
      <c r="A789" s="13" t="n"/>
      <c r="B789" s="18" t="n"/>
      <c r="C789" s="18" t="n"/>
      <c r="D789" s="19" t="n"/>
      <c r="E789" s="19" t="n"/>
      <c r="F789" s="17">
        <f>IF(OR($B789="",$D789=""),"",$D789*$E789)</f>
        <v/>
      </c>
      <c r="G789" s="12">
        <f>IF($B789="","",IF(COUNTIF(Cellar!$A$5:$A$31,$B789)=0,"NOT IN THE CELLAR","ok"))</f>
        <v/>
      </c>
    </row>
    <row r="790">
      <c r="A790" s="13" t="n"/>
      <c r="B790" s="18" t="n"/>
      <c r="C790" s="18" t="n"/>
      <c r="D790" s="19" t="n"/>
      <c r="E790" s="19" t="n"/>
      <c r="F790" s="17">
        <f>IF(OR($B790="",$D790=""),"",$D790*$E790)</f>
        <v/>
      </c>
      <c r="G790" s="12">
        <f>IF($B790="","",IF(COUNTIF(Cellar!$A$5:$A$31,$B790)=0,"NOT IN THE CELLAR","ok"))</f>
        <v/>
      </c>
    </row>
    <row r="791">
      <c r="A791" s="13" t="n"/>
      <c r="B791" s="18" t="n"/>
      <c r="C791" s="18" t="n"/>
      <c r="D791" s="19" t="n"/>
      <c r="E791" s="19" t="n"/>
      <c r="F791" s="17">
        <f>IF(OR($B791="",$D791=""),"",$D791*$E791)</f>
        <v/>
      </c>
      <c r="G791" s="12">
        <f>IF($B791="","",IF(COUNTIF(Cellar!$A$5:$A$31,$B791)=0,"NOT IN THE CELLAR","ok"))</f>
        <v/>
      </c>
    </row>
    <row r="792">
      <c r="A792" s="13" t="n"/>
      <c r="B792" s="18" t="n"/>
      <c r="C792" s="18" t="n"/>
      <c r="D792" s="19" t="n"/>
      <c r="E792" s="19" t="n"/>
      <c r="F792" s="17">
        <f>IF(OR($B792="",$D792=""),"",$D792*$E792)</f>
        <v/>
      </c>
      <c r="G792" s="12">
        <f>IF($B792="","",IF(COUNTIF(Cellar!$A$5:$A$31,$B792)=0,"NOT IN THE CELLAR","ok"))</f>
        <v/>
      </c>
    </row>
    <row r="793">
      <c r="A793" s="13" t="n"/>
      <c r="B793" s="18" t="n"/>
      <c r="C793" s="18" t="n"/>
      <c r="D793" s="19" t="n"/>
      <c r="E793" s="19" t="n"/>
      <c r="F793" s="17">
        <f>IF(OR($B793="",$D793=""),"",$D793*$E793)</f>
        <v/>
      </c>
      <c r="G793" s="12">
        <f>IF($B793="","",IF(COUNTIF(Cellar!$A$5:$A$31,$B793)=0,"NOT IN THE CELLAR","ok"))</f>
        <v/>
      </c>
    </row>
    <row r="794">
      <c r="A794" s="13" t="n"/>
      <c r="B794" s="18" t="n"/>
      <c r="C794" s="18" t="n"/>
      <c r="D794" s="19" t="n"/>
      <c r="E794" s="19" t="n"/>
      <c r="F794" s="17">
        <f>IF(OR($B794="",$D794=""),"",$D794*$E794)</f>
        <v/>
      </c>
      <c r="G794" s="12">
        <f>IF($B794="","",IF(COUNTIF(Cellar!$A$5:$A$31,$B794)=0,"NOT IN THE CELLAR","ok"))</f>
        <v/>
      </c>
    </row>
    <row r="795">
      <c r="A795" s="13" t="n"/>
      <c r="B795" s="18" t="n"/>
      <c r="C795" s="18" t="n"/>
      <c r="D795" s="19" t="n"/>
      <c r="E795" s="19" t="n"/>
      <c r="F795" s="17">
        <f>IF(OR($B795="",$D795=""),"",$D795*$E795)</f>
        <v/>
      </c>
      <c r="G795" s="12">
        <f>IF($B795="","",IF(COUNTIF(Cellar!$A$5:$A$31,$B795)=0,"NOT IN THE CELLAR","ok"))</f>
        <v/>
      </c>
    </row>
    <row r="796">
      <c r="A796" s="13" t="n"/>
      <c r="B796" s="18" t="n"/>
      <c r="C796" s="18" t="n"/>
      <c r="D796" s="19" t="n"/>
      <c r="E796" s="19" t="n"/>
      <c r="F796" s="17">
        <f>IF(OR($B796="",$D796=""),"",$D796*$E796)</f>
        <v/>
      </c>
      <c r="G796" s="12">
        <f>IF($B796="","",IF(COUNTIF(Cellar!$A$5:$A$31,$B796)=0,"NOT IN THE CELLAR","ok"))</f>
        <v/>
      </c>
    </row>
    <row r="797">
      <c r="A797" s="13" t="n"/>
      <c r="B797" s="18" t="n"/>
      <c r="C797" s="18" t="n"/>
      <c r="D797" s="19" t="n"/>
      <c r="E797" s="19" t="n"/>
      <c r="F797" s="17">
        <f>IF(OR($B797="",$D797=""),"",$D797*$E797)</f>
        <v/>
      </c>
      <c r="G797" s="12">
        <f>IF($B797="","",IF(COUNTIF(Cellar!$A$5:$A$31,$B797)=0,"NOT IN THE CELLAR","ok"))</f>
        <v/>
      </c>
    </row>
    <row r="798">
      <c r="A798" s="13" t="n"/>
      <c r="B798" s="18" t="n"/>
      <c r="C798" s="18" t="n"/>
      <c r="D798" s="19" t="n"/>
      <c r="E798" s="19" t="n"/>
      <c r="F798" s="17">
        <f>IF(OR($B798="",$D798=""),"",$D798*$E798)</f>
        <v/>
      </c>
      <c r="G798" s="12">
        <f>IF($B798="","",IF(COUNTIF(Cellar!$A$5:$A$31,$B798)=0,"NOT IN THE CELLAR","ok"))</f>
        <v/>
      </c>
    </row>
    <row r="799">
      <c r="A799" s="13" t="n"/>
      <c r="B799" s="18" t="n"/>
      <c r="C799" s="18" t="n"/>
      <c r="D799" s="19" t="n"/>
      <c r="E799" s="19" t="n"/>
      <c r="F799" s="17">
        <f>IF(OR($B799="",$D799=""),"",$D799*$E799)</f>
        <v/>
      </c>
      <c r="G799" s="12">
        <f>IF($B799="","",IF(COUNTIF(Cellar!$A$5:$A$31,$B799)=0,"NOT IN THE CELLAR","ok"))</f>
        <v/>
      </c>
    </row>
    <row r="800">
      <c r="A800" s="13" t="n"/>
      <c r="B800" s="18" t="n"/>
      <c r="C800" s="18" t="n"/>
      <c r="D800" s="19" t="n"/>
      <c r="E800" s="19" t="n"/>
      <c r="F800" s="17">
        <f>IF(OR($B800="",$D800=""),"",$D800*$E800)</f>
        <v/>
      </c>
      <c r="G800" s="12">
        <f>IF($B800="","",IF(COUNTIF(Cellar!$A$5:$A$31,$B800)=0,"NOT IN THE CELLAR","ok"))</f>
        <v/>
      </c>
    </row>
  </sheetData>
  <dataValidations count="1">
    <dataValidation sqref="B5:B800" showDropDown="0" showInputMessage="0" showErrorMessage="0" allowBlank="1" type="list">
      <formula1>Cellar!$A$5:$A$31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22" customWidth="1" min="7" max="7"/>
  </cols>
  <sheetData>
    <row r="1">
      <c r="A1" s="1" t="inlineStr">
        <is>
          <t>Cellar</t>
        </is>
      </c>
    </row>
    <row r="2">
      <c r="A2" s="4" t="inlineStr">
        <is>
          <t>Counted on 16 September 2026, from your own stock take. It takes off whatever the Sold sheet says went.</t>
        </is>
      </c>
    </row>
    <row r="3">
      <c r="A3" s="3" t="inlineStr">
        <is>
          <t>Counted on</t>
        </is>
      </c>
      <c r="B3" s="13" t="n">
        <v>46281</v>
      </c>
      <c r="C3" s="4" t="inlineStr">
        <is>
          <t>Only what the Sold sheet dates on or after this day comes off.</t>
        </is>
      </c>
    </row>
    <row r="4" ht="30" customHeight="1">
      <c r="A4" s="6" t="inlineStr">
        <is>
          <t>Line</t>
        </is>
      </c>
      <c r="B4" s="6" t="inlineStr">
        <is>
          <t>Counted in</t>
        </is>
      </c>
      <c r="C4" s="6" t="inlineStr">
        <is>
          <t>Counted</t>
        </is>
      </c>
      <c r="D4" s="6" t="inlineStr">
        <is>
          <t>Booked in since</t>
        </is>
      </c>
      <c r="E4" s="6" t="inlineStr">
        <is>
          <t>Sold since</t>
        </is>
      </c>
      <c r="F4" s="6" t="inlineStr">
        <is>
          <t>Left now</t>
        </is>
      </c>
      <c r="G4" s="6" t="inlineStr">
        <is>
          <t>A full container is</t>
        </is>
      </c>
    </row>
    <row r="5">
      <c r="A5" s="20" t="inlineStr">
        <is>
          <t>Taddy Lager</t>
        </is>
      </c>
      <c r="B5" s="20" t="inlineStr">
        <is>
          <t>pint</t>
        </is>
      </c>
      <c r="C5" s="19" t="n">
        <v>1056</v>
      </c>
      <c r="D5" s="19" t="n"/>
      <c r="E5" s="17">
        <f>SUMIFS(Sold!$F$5:$F$800,Sold!$B$5:$B$800,$A5,Sold!$A$5:$A$800,"&gt;="&amp;$B$3)</f>
        <v/>
      </c>
      <c r="F5" s="21">
        <f>IF($C5="","not counted",$C5+IF($D5="",0,$D5)-$E5)</f>
        <v/>
      </c>
      <c r="G5" s="20" t="inlineStr">
        <is>
          <t>large keg (176 pint)</t>
        </is>
      </c>
    </row>
    <row r="6">
      <c r="A6" s="20" t="inlineStr">
        <is>
          <t>Alpine</t>
        </is>
      </c>
      <c r="B6" s="20" t="inlineStr">
        <is>
          <t>pint</t>
        </is>
      </c>
      <c r="C6" s="19" t="n">
        <v>302.4</v>
      </c>
      <c r="D6" s="19" t="n"/>
      <c r="E6" s="17">
        <f>SUMIFS(Sold!$F$5:$F$800,Sold!$B$5:$B$800,$A6,Sold!$A$5:$A$800,"&gt;="&amp;$B$3)</f>
        <v/>
      </c>
      <c r="F6" s="21">
        <f>IF($C6="","not counted",$C6+IF($D6="",0,$D6)-$E6)</f>
        <v/>
      </c>
      <c r="G6" s="20" t="inlineStr">
        <is>
          <t>middle keg (144 pint)</t>
        </is>
      </c>
    </row>
    <row r="7">
      <c r="A7" s="20" t="inlineStr">
        <is>
          <t>Stout</t>
        </is>
      </c>
      <c r="B7" s="20" t="inlineStr">
        <is>
          <t>pint</t>
        </is>
      </c>
      <c r="C7" s="19" t="n">
        <v>218.24</v>
      </c>
      <c r="D7" s="19" t="n"/>
      <c r="E7" s="17">
        <f>SUMIFS(Sold!$F$5:$F$800,Sold!$B$5:$B$800,$A7,Sold!$A$5:$A$800,"&gt;="&amp;$B$3)</f>
        <v/>
      </c>
      <c r="F7" s="21">
        <f>IF($C7="","not counted",$C7+IF($D7="",0,$D7)-$E7)</f>
        <v/>
      </c>
      <c r="G7" s="20" t="inlineStr">
        <is>
          <t>small keg (88 pint)</t>
        </is>
      </c>
    </row>
    <row r="8">
      <c r="A8" s="20" t="inlineStr">
        <is>
          <t>Cider</t>
        </is>
      </c>
      <c r="B8" s="20" t="inlineStr">
        <is>
          <t>pint</t>
        </is>
      </c>
      <c r="C8" s="19" t="n">
        <v>171.03</v>
      </c>
      <c r="D8" s="19" t="n"/>
      <c r="E8" s="17">
        <f>SUMIFS(Sold!$F$5:$F$800,Sold!$B$5:$B$800,$A8,Sold!$A$5:$A$800,"&gt;="&amp;$B$3)</f>
        <v/>
      </c>
      <c r="F8" s="21">
        <f>IF($C8="","not counted",$C8+IF($D8="",0,$D8)-$E8)</f>
        <v/>
      </c>
      <c r="G8" s="20" t="inlineStr">
        <is>
          <t>small keg (88 pint)</t>
        </is>
      </c>
    </row>
    <row r="9">
      <c r="A9" s="20" t="inlineStr">
        <is>
          <t>Dark Mild</t>
        </is>
      </c>
      <c r="B9" s="20" t="inlineStr">
        <is>
          <t>pint</t>
        </is>
      </c>
      <c r="C9" s="19" t="n">
        <v>67.86</v>
      </c>
      <c r="D9" s="19" t="n"/>
      <c r="E9" s="17">
        <f>SUMIFS(Sold!$F$5:$F$800,Sold!$B$5:$B$800,$A9,Sold!$A$5:$A$800,"&gt;="&amp;$B$3)</f>
        <v/>
      </c>
      <c r="F9" s="21">
        <f>IF($C9="","not counted",$C9+IF($D9="",0,$D9)-$E9)</f>
        <v/>
      </c>
      <c r="G9" s="20" t="inlineStr">
        <is>
          <t>small keg (88 pint)</t>
        </is>
      </c>
    </row>
    <row r="10">
      <c r="A10" s="20" t="inlineStr">
        <is>
          <t>Rose</t>
        </is>
      </c>
      <c r="B10" s="20" t="inlineStr">
        <is>
          <t>ml</t>
        </is>
      </c>
      <c r="C10" s="19" t="n">
        <v>18750</v>
      </c>
      <c r="D10" s="19" t="n"/>
      <c r="E10" s="17">
        <f>SUMIFS(Sold!$F$5:$F$800,Sold!$B$5:$B$800,$A10,Sold!$A$5:$A$800,"&gt;="&amp;$B$3)</f>
        <v/>
      </c>
      <c r="F10" s="21">
        <f>IF($C10="","not counted",$C10+IF($D10="",0,$D10)-$E10)</f>
        <v/>
      </c>
      <c r="G10" s="20" t="inlineStr">
        <is>
          <t>wine bottle (750 ml)</t>
        </is>
      </c>
    </row>
    <row r="11">
      <c r="A11" s="20" t="inlineStr">
        <is>
          <t>Red wine</t>
        </is>
      </c>
      <c r="B11" s="20" t="inlineStr">
        <is>
          <t>ml</t>
        </is>
      </c>
      <c r="C11" s="19" t="n">
        <v>11125</v>
      </c>
      <c r="D11" s="19" t="n"/>
      <c r="E11" s="17">
        <f>SUMIFS(Sold!$F$5:$F$800,Sold!$B$5:$B$800,$A11,Sold!$A$5:$A$800,"&gt;="&amp;$B$3)</f>
        <v/>
      </c>
      <c r="F11" s="21">
        <f>IF($C11="","not counted",$C11+IF($D11="",0,$D11)-$E11)</f>
        <v/>
      </c>
      <c r="G11" s="20" t="inlineStr">
        <is>
          <t>wine bottle (750 ml)</t>
        </is>
      </c>
    </row>
    <row r="12">
      <c r="A12" s="20" t="inlineStr">
        <is>
          <t>White wine</t>
        </is>
      </c>
      <c r="B12" s="20" t="inlineStr">
        <is>
          <t>ml</t>
        </is>
      </c>
      <c r="C12" s="19" t="n">
        <v>55125</v>
      </c>
      <c r="D12" s="19" t="n"/>
      <c r="E12" s="17">
        <f>SUMIFS(Sold!$F$5:$F$800,Sold!$B$5:$B$800,$A12,Sold!$A$5:$A$800,"&gt;="&amp;$B$3)</f>
        <v/>
      </c>
      <c r="F12" s="21">
        <f>IF($C12="","not counted",$C12+IF($D12="",0,$D12)-$E12)</f>
        <v/>
      </c>
      <c r="G12" s="20" t="inlineStr">
        <is>
          <t>wine bottle (750 ml)</t>
        </is>
      </c>
    </row>
    <row r="13">
      <c r="A13" s="20" t="inlineStr">
        <is>
          <t>Cherry</t>
        </is>
      </c>
      <c r="B13" s="20" t="inlineStr">
        <is>
          <t>bottle</t>
        </is>
      </c>
      <c r="C13" s="19" t="n">
        <v>46</v>
      </c>
      <c r="D13" s="19" t="n"/>
      <c r="E13" s="17">
        <f>SUMIFS(Sold!$F$5:$F$800,Sold!$B$5:$B$800,$A13,Sold!$A$5:$A$800,"&gt;="&amp;$B$3)</f>
        <v/>
      </c>
      <c r="F13" s="21">
        <f>IF($C13="","not counted",$C13+IF($D13="",0,$D13)-$E13)</f>
        <v/>
      </c>
      <c r="G13" s="20" t="inlineStr">
        <is>
          <t>—</t>
        </is>
      </c>
    </row>
    <row r="14">
      <c r="A14" s="20" t="inlineStr">
        <is>
          <t>Raspberry</t>
        </is>
      </c>
      <c r="B14" s="20" t="inlineStr">
        <is>
          <t>bottle</t>
        </is>
      </c>
      <c r="C14" s="19" t="n">
        <v>22</v>
      </c>
      <c r="D14" s="19" t="n"/>
      <c r="E14" s="17">
        <f>SUMIFS(Sold!$F$5:$F$800,Sold!$B$5:$B$800,$A14,Sold!$A$5:$A$800,"&gt;="&amp;$B$3)</f>
        <v/>
      </c>
      <c r="F14" s="21">
        <f>IF($C14="","not counted",$C14+IF($D14="",0,$D14)-$E14)</f>
        <v/>
      </c>
      <c r="G14" s="20" t="inlineStr">
        <is>
          <t>—</t>
        </is>
      </c>
    </row>
    <row r="15">
      <c r="A15" s="20" t="inlineStr">
        <is>
          <t>Chocolate</t>
        </is>
      </c>
      <c r="B15" s="20" t="inlineStr">
        <is>
          <t>bottle</t>
        </is>
      </c>
      <c r="C15" s="19" t="n">
        <v>39</v>
      </c>
      <c r="D15" s="19" t="n"/>
      <c r="E15" s="17">
        <f>SUMIFS(Sold!$F$5:$F$800,Sold!$B$5:$B$800,$A15,Sold!$A$5:$A$800,"&gt;="&amp;$B$3)</f>
        <v/>
      </c>
      <c r="F15" s="21">
        <f>IF($C15="","not counted",$C15+IF($D15="",0,$D15)-$E15)</f>
        <v/>
      </c>
      <c r="G15" s="20" t="inlineStr">
        <is>
          <t>—</t>
        </is>
      </c>
    </row>
    <row r="16">
      <c r="A16" s="20" t="inlineStr">
        <is>
          <t>Apricot</t>
        </is>
      </c>
      <c r="B16" s="20" t="inlineStr">
        <is>
          <t>bottle</t>
        </is>
      </c>
      <c r="C16" s="19" t="n">
        <v>38</v>
      </c>
      <c r="D16" s="19" t="n"/>
      <c r="E16" s="17">
        <f>SUMIFS(Sold!$F$5:$F$800,Sold!$B$5:$B$800,$A16,Sold!$A$5:$A$800,"&gt;="&amp;$B$3)</f>
        <v/>
      </c>
      <c r="F16" s="21">
        <f>IF($C16="","not counted",$C16+IF($D16="",0,$D16)-$E16)</f>
        <v/>
      </c>
      <c r="G16" s="20" t="inlineStr">
        <is>
          <t>—</t>
        </is>
      </c>
    </row>
    <row r="17">
      <c r="A17" s="20" t="inlineStr">
        <is>
          <t>Pear</t>
        </is>
      </c>
      <c r="B17" s="20" t="inlineStr">
        <is>
          <t>bottle</t>
        </is>
      </c>
      <c r="C17" s="19" t="n">
        <v>85</v>
      </c>
      <c r="D17" s="19" t="n"/>
      <c r="E17" s="17">
        <f>SUMIFS(Sold!$F$5:$F$800,Sold!$B$5:$B$800,$A17,Sold!$A$5:$A$800,"&gt;="&amp;$B$3)</f>
        <v/>
      </c>
      <c r="F17" s="21">
        <f>IF($C17="","not counted",$C17+IF($D17="",0,$D17)-$E17)</f>
        <v/>
      </c>
      <c r="G17" s="20" t="inlineStr">
        <is>
          <t>—</t>
        </is>
      </c>
    </row>
    <row r="18">
      <c r="A18" s="20" t="inlineStr">
        <is>
          <t>Strawberry</t>
        </is>
      </c>
      <c r="B18" s="20" t="inlineStr">
        <is>
          <t>bottle</t>
        </is>
      </c>
      <c r="C18" s="19" t="n">
        <v>6</v>
      </c>
      <c r="D18" s="19" t="n"/>
      <c r="E18" s="17">
        <f>SUMIFS(Sold!$F$5:$F$800,Sold!$B$5:$B$800,$A18,Sold!$A$5:$A$800,"&gt;="&amp;$B$3)</f>
        <v/>
      </c>
      <c r="F18" s="21">
        <f>IF($C18="","not counted",$C18+IF($D18="",0,$D18)-$E18)</f>
        <v/>
      </c>
      <c r="G18" s="20" t="inlineStr">
        <is>
          <t>—</t>
        </is>
      </c>
    </row>
    <row r="19">
      <c r="A19" s="20" t="inlineStr">
        <is>
          <t>Nut Brown</t>
        </is>
      </c>
      <c r="B19" s="20" t="inlineStr">
        <is>
          <t>bottle</t>
        </is>
      </c>
      <c r="C19" s="19" t="n">
        <v>31</v>
      </c>
      <c r="D19" s="19" t="n"/>
      <c r="E19" s="17">
        <f>SUMIFS(Sold!$F$5:$F$800,Sold!$B$5:$B$800,$A19,Sold!$A$5:$A$800,"&gt;="&amp;$B$3)</f>
        <v/>
      </c>
      <c r="F19" s="21">
        <f>IF($C19="","not counted",$C19+IF($D19="",0,$D19)-$E19)</f>
        <v/>
      </c>
      <c r="G19" s="20" t="inlineStr">
        <is>
          <t>—</t>
        </is>
      </c>
    </row>
    <row r="20">
      <c r="A20" s="20" t="inlineStr">
        <is>
          <t>Pure Brew (bottled)</t>
        </is>
      </c>
      <c r="B20" s="20" t="inlineStr">
        <is>
          <t>bottle</t>
        </is>
      </c>
      <c r="C20" s="19" t="n">
        <v>30</v>
      </c>
      <c r="D20" s="19" t="n"/>
      <c r="E20" s="17">
        <f>SUMIFS(Sold!$F$5:$F$800,Sold!$B$5:$B$800,$A20,Sold!$A$5:$A$800,"&gt;="&amp;$B$3)</f>
        <v/>
      </c>
      <c r="F20" s="21">
        <f>IF($C20="","not counted",$C20+IF($D20="",0,$D20)-$E20)</f>
        <v/>
      </c>
      <c r="G20" s="20" t="inlineStr">
        <is>
          <t>—</t>
        </is>
      </c>
    </row>
    <row r="21">
      <c r="A21" s="20" t="inlineStr">
        <is>
          <t>alc free</t>
        </is>
      </c>
      <c r="B21" s="20" t="inlineStr">
        <is>
          <t>bottle</t>
        </is>
      </c>
      <c r="C21" s="19" t="n">
        <v>29</v>
      </c>
      <c r="D21" s="19" t="n"/>
      <c r="E21" s="17">
        <f>SUMIFS(Sold!$F$5:$F$800,Sold!$B$5:$B$800,$A21,Sold!$A$5:$A$800,"&gt;="&amp;$B$3)</f>
        <v/>
      </c>
      <c r="F21" s="21">
        <f>IF($C21="","not counted",$C21+IF($D21="",0,$D21)-$E21)</f>
        <v/>
      </c>
      <c r="G21" s="20" t="inlineStr">
        <is>
          <t>—</t>
        </is>
      </c>
    </row>
    <row r="22">
      <c r="A22" s="20" t="inlineStr">
        <is>
          <t>Orange Juice</t>
        </is>
      </c>
      <c r="B22" s="20" t="inlineStr">
        <is>
          <t>bottle</t>
        </is>
      </c>
      <c r="C22" s="19" t="n">
        <v>53</v>
      </c>
      <c r="D22" s="19" t="n"/>
      <c r="E22" s="17">
        <f>SUMIFS(Sold!$F$5:$F$800,Sold!$B$5:$B$800,$A22,Sold!$A$5:$A$800,"&gt;="&amp;$B$3)</f>
        <v/>
      </c>
      <c r="F22" s="21">
        <f>IF($C22="","not counted",$C22+IF($D22="",0,$D22)-$E22)</f>
        <v/>
      </c>
      <c r="G22" s="20" t="inlineStr">
        <is>
          <t>—</t>
        </is>
      </c>
    </row>
    <row r="23">
      <c r="A23" s="20" t="inlineStr">
        <is>
          <t>Apple Juice</t>
        </is>
      </c>
      <c r="B23" s="20" t="inlineStr">
        <is>
          <t>bottle</t>
        </is>
      </c>
      <c r="C23" s="19" t="n">
        <v>56</v>
      </c>
      <c r="D23" s="19" t="n"/>
      <c r="E23" s="17">
        <f>SUMIFS(Sold!$F$5:$F$800,Sold!$B$5:$B$800,$A23,Sold!$A$5:$A$800,"&gt;="&amp;$B$3)</f>
        <v/>
      </c>
      <c r="F23" s="21">
        <f>IF($C23="","not counted",$C23+IF($D23="",0,$D23)-$E23)</f>
        <v/>
      </c>
      <c r="G23" s="20" t="inlineStr">
        <is>
          <t>—</t>
        </is>
      </c>
    </row>
    <row r="24">
      <c r="A24" s="20" t="inlineStr">
        <is>
          <t>Passion</t>
        </is>
      </c>
      <c r="B24" s="20" t="inlineStr">
        <is>
          <t>bottle</t>
        </is>
      </c>
      <c r="C24" s="19" t="n">
        <v>39</v>
      </c>
      <c r="D24" s="19" t="n"/>
      <c r="E24" s="17">
        <f>SUMIFS(Sold!$F$5:$F$800,Sold!$B$5:$B$800,$A24,Sold!$A$5:$A$800,"&gt;="&amp;$B$3)</f>
        <v/>
      </c>
      <c r="F24" s="21">
        <f>IF($C24="","not counted",$C24+IF($D24="",0,$D24)-$E24)</f>
        <v/>
      </c>
      <c r="G24" s="20" t="inlineStr">
        <is>
          <t>—</t>
        </is>
      </c>
    </row>
    <row r="25">
      <c r="A25" s="20" t="inlineStr">
        <is>
          <t>Elderflower</t>
        </is>
      </c>
      <c r="B25" s="20" t="inlineStr">
        <is>
          <t>bottle</t>
        </is>
      </c>
      <c r="C25" s="19" t="n">
        <v>39</v>
      </c>
      <c r="D25" s="19" t="n"/>
      <c r="E25" s="17">
        <f>SUMIFS(Sold!$F$5:$F$800,Sold!$B$5:$B$800,$A25,Sold!$A$5:$A$800,"&gt;="&amp;$B$3)</f>
        <v/>
      </c>
      <c r="F25" s="21">
        <f>IF($C25="","not counted",$C25+IF($D25="",0,$D25)-$E25)</f>
        <v/>
      </c>
      <c r="G25" s="20" t="inlineStr">
        <is>
          <t>—</t>
        </is>
      </c>
    </row>
    <row r="26">
      <c r="A26" s="20" t="inlineStr">
        <is>
          <t>Rasp and Cran</t>
        </is>
      </c>
      <c r="B26" s="20" t="inlineStr">
        <is>
          <t>bottle</t>
        </is>
      </c>
      <c r="C26" s="19" t="n">
        <v>25</v>
      </c>
      <c r="D26" s="19" t="n"/>
      <c r="E26" s="17">
        <f>SUMIFS(Sold!$F$5:$F$800,Sold!$B$5:$B$800,$A26,Sold!$A$5:$A$800,"&gt;="&amp;$B$3)</f>
        <v/>
      </c>
      <c r="F26" s="21">
        <f>IF($C26="","not counted",$C26+IF($D26="",0,$D26)-$E26)</f>
        <v/>
      </c>
      <c r="G26" s="20" t="inlineStr">
        <is>
          <t>—</t>
        </is>
      </c>
    </row>
    <row r="27">
      <c r="A27" s="20" t="inlineStr">
        <is>
          <t>Tonic</t>
        </is>
      </c>
      <c r="B27" s="20" t="inlineStr">
        <is>
          <t>bottle</t>
        </is>
      </c>
      <c r="C27" s="19" t="n">
        <v>41</v>
      </c>
      <c r="D27" s="19" t="n"/>
      <c r="E27" s="17">
        <f>SUMIFS(Sold!$F$5:$F$800,Sold!$B$5:$B$800,$A27,Sold!$A$5:$A$800,"&gt;="&amp;$B$3)</f>
        <v/>
      </c>
      <c r="F27" s="21">
        <f>IF($C27="","not counted",$C27+IF($D27="",0,$D27)-$E27)</f>
        <v/>
      </c>
      <c r="G27" s="20" t="inlineStr">
        <is>
          <t>—</t>
        </is>
      </c>
    </row>
    <row r="28">
      <c r="A28" s="20" t="inlineStr">
        <is>
          <t>Ginger Beer</t>
        </is>
      </c>
      <c r="B28" s="20" t="inlineStr">
        <is>
          <t>bottle</t>
        </is>
      </c>
      <c r="C28" s="19" t="n">
        <v>58</v>
      </c>
      <c r="D28" s="19" t="n"/>
      <c r="E28" s="17">
        <f>SUMIFS(Sold!$F$5:$F$800,Sold!$B$5:$B$800,$A28,Sold!$A$5:$A$800,"&gt;="&amp;$B$3)</f>
        <v/>
      </c>
      <c r="F28" s="21">
        <f>IF($C28="","not counted",$C28+IF($D28="",0,$D28)-$E28)</f>
        <v/>
      </c>
      <c r="G28" s="20" t="inlineStr">
        <is>
          <t>—</t>
        </is>
      </c>
    </row>
    <row r="29">
      <c r="A29" s="20" t="inlineStr">
        <is>
          <t>Crisps</t>
        </is>
      </c>
      <c r="B29" s="20" t="inlineStr">
        <is>
          <t>unit</t>
        </is>
      </c>
      <c r="C29" s="19" t="n">
        <v>525</v>
      </c>
      <c r="D29" s="19" t="n"/>
      <c r="E29" s="17">
        <f>SUMIFS(Sold!$F$5:$F$800,Sold!$B$5:$B$800,$A29,Sold!$A$5:$A$800,"&gt;="&amp;$B$3)</f>
        <v/>
      </c>
      <c r="F29" s="21">
        <f>IF($C29="","not counted",$C29+IF($D29="",0,$D29)-$E29)</f>
        <v/>
      </c>
      <c r="G29" s="20" t="inlineStr">
        <is>
          <t>box (25 unit)</t>
        </is>
      </c>
    </row>
    <row r="30">
      <c r="A30" s="20" t="inlineStr">
        <is>
          <t>Salted Nuts</t>
        </is>
      </c>
      <c r="B30" s="20" t="inlineStr">
        <is>
          <t>unit</t>
        </is>
      </c>
      <c r="C30" s="19" t="n">
        <v>68</v>
      </c>
      <c r="D30" s="19" t="n"/>
      <c r="E30" s="17">
        <f>SUMIFS(Sold!$F$5:$F$800,Sold!$B$5:$B$800,$A30,Sold!$A$5:$A$800,"&gt;="&amp;$B$3)</f>
        <v/>
      </c>
      <c r="F30" s="21">
        <f>IF($C30="","not counted",$C30+IF($D30="",0,$D30)-$E30)</f>
        <v/>
      </c>
      <c r="G30" s="20" t="inlineStr">
        <is>
          <t>—</t>
        </is>
      </c>
    </row>
    <row r="31">
      <c r="A31" s="20" t="inlineStr">
        <is>
          <t>Dry Roast</t>
        </is>
      </c>
      <c r="B31" s="20" t="inlineStr">
        <is>
          <t>unit</t>
        </is>
      </c>
      <c r="C31" s="19" t="n">
        <v>58</v>
      </c>
      <c r="D31" s="19" t="n"/>
      <c r="E31" s="17">
        <f>SUMIFS(Sold!$F$5:$F$800,Sold!$B$5:$B$800,$A31,Sold!$A$5:$A$800,"&gt;="&amp;$B$3)</f>
        <v/>
      </c>
      <c r="F31" s="21">
        <f>IF($C31="","not counted",$C31+IF($D31="",0,$D31)-$E31)</f>
        <v/>
      </c>
      <c r="G31" s="20" t="inlineStr">
        <is>
          <t>—</t>
        </is>
      </c>
    </row>
    <row r="33">
      <c r="A33" s="3" t="inlineStr">
        <is>
          <t>Lines on the Sold sheet matching nothing here</t>
        </is>
      </c>
      <c r="C33" s="22">
        <f>COUNTIF(Sold!$G$5:$G$800,"NOT IN THE CELLAR")</f>
        <v/>
      </c>
      <c r="D33" s="4" t="inlineStr">
        <is>
          <t>Anything above zero is stock going out with nothing coming off.</t>
        </is>
      </c>
    </row>
    <row r="35">
      <c r="A35" s="4" t="inlineStr">
        <is>
          <t>Source: your own stock take of 16 September 2026.</t>
        </is>
      </c>
    </row>
    <row r="36">
      <c r="A36" s="4" t="inlineStr">
        <is>
          <t>Alpine is 2.1 kegs: the middle keg has no empty weight, so it was measured by eye.</t>
        </is>
      </c>
    </row>
    <row r="37">
      <c r="A37" s="4" t="inlineStr">
        <is>
          <t>Crisps are the six flavours added together, because the till sells them on one button.</t>
        </is>
      </c>
    </row>
    <row r="38">
      <c r="A38" s="4" t="inlineStr">
        <is>
          <t>Spirits, post mix, OBB and Pure Brew on draught were not counted, so they are not here.</t>
        </is>
      </c>
    </row>
    <row r="39">
      <c r="A39" s="4" t="inlineStr">
        <is>
          <t>A pint is 568ml, so two halves make one pint exactly. Wine is counted in millilitres.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2026-09-20T09:25:34Z</dcterms:created>
  <dcterms:modified xsi:type="dcterms:W3CDTF">2026-09-20T09:25:34Z</dcterms:modified>
</cp:coreProperties>
</file>